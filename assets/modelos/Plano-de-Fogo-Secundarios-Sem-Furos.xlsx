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rre\OneDrive\Desktop\PC\EXTERNO\00. ENAEX\02. Planos de Fogos - PREVISTOS\Modelo - BLOCOS - SEM FUROS\"/>
    </mc:Choice>
  </mc:AlternateContent>
  <xr:revisionPtr revIDLastSave="0" documentId="13_ncr:1_{3C421BBF-CB97-470F-B00C-D3A71A785311}" xr6:coauthVersionLast="47" xr6:coauthVersionMax="47" xr10:uidLastSave="{00000000-0000-0000-0000-000000000000}"/>
  <bookViews>
    <workbookView xWindow="-120" yWindow="-120" windowWidth="29040" windowHeight="15720" firstSheet="1" activeTab="1" xr2:uid="{5E28033D-3336-4CE5-84EE-3A7610A17CB8}"/>
  </bookViews>
  <sheets>
    <sheet name="Capa (2)" sheetId="16" state="hidden" r:id="rId1"/>
    <sheet name="Capa" sheetId="1" r:id="rId2"/>
  </sheets>
  <definedNames>
    <definedName name="_xlnm.Print_Area" localSheetId="1">Capa!$B$2:$T$67</definedName>
    <definedName name="_xlnm.Print_Area" localSheetId="0">'Capa (2)'!$B$2:$T$67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7" i="1" l="1"/>
  <c r="E12" i="1" s="1"/>
  <c r="M12" i="1" s="1"/>
  <c r="S20" i="1"/>
  <c r="E15" i="1"/>
  <c r="E18" i="1"/>
  <c r="H5" i="1"/>
  <c r="AA36" i="1"/>
  <c r="Z37" i="1"/>
  <c r="E13" i="1"/>
  <c r="AA48" i="1"/>
  <c r="E8" i="1"/>
  <c r="M18" i="1"/>
  <c r="M17" i="1"/>
  <c r="N136" i="16"/>
  <c r="Z37" i="16"/>
  <c r="AA36" i="16"/>
  <c r="AA28" i="16"/>
  <c r="E13" i="16"/>
  <c r="S20" i="16"/>
  <c r="E12" i="16"/>
  <c r="M12" i="16"/>
  <c r="E18" i="16"/>
  <c r="B18" i="16"/>
  <c r="M17" i="16"/>
  <c r="S19" i="16"/>
  <c r="E17" i="16"/>
  <c r="B17" i="16"/>
  <c r="E16" i="16"/>
  <c r="B16" i="16"/>
  <c r="E15" i="16"/>
  <c r="B15" i="16"/>
  <c r="E14" i="16"/>
  <c r="S12" i="16"/>
  <c r="B12" i="16"/>
  <c r="S10" i="16"/>
  <c r="E10" i="16"/>
  <c r="E9" i="16"/>
  <c r="S11" i="16"/>
  <c r="AJ8" i="16"/>
  <c r="AA8" i="16"/>
  <c r="S8" i="16"/>
  <c r="M8" i="16"/>
  <c r="V8" i="16"/>
  <c r="E8" i="16"/>
  <c r="AJ7" i="16"/>
  <c r="S7" i="16"/>
  <c r="M7" i="16"/>
  <c r="E7" i="16"/>
  <c r="E6" i="16"/>
  <c r="S5" i="16"/>
  <c r="N5" i="16"/>
  <c r="H63" i="16"/>
  <c r="J5" i="16"/>
  <c r="H5" i="16"/>
  <c r="F5" i="16"/>
  <c r="E5" i="16"/>
  <c r="R2" i="16"/>
  <c r="B15" i="1"/>
  <c r="B16" i="1"/>
  <c r="B17" i="1"/>
  <c r="B14" i="1"/>
  <c r="AJ7" i="1"/>
  <c r="AJ8" i="1"/>
  <c r="E6" i="1"/>
  <c r="J5" i="1"/>
  <c r="S12" i="1"/>
  <c r="S8" i="1"/>
  <c r="S7" i="1"/>
  <c r="M8" i="1"/>
  <c r="V8" i="1"/>
  <c r="M7" i="1"/>
  <c r="E10" i="1"/>
  <c r="E7" i="1"/>
  <c r="S5" i="1"/>
  <c r="N5" i="1"/>
  <c r="H63" i="1"/>
  <c r="N136" i="1"/>
  <c r="B63" i="16"/>
  <c r="E17" i="1"/>
  <c r="B12" i="1"/>
  <c r="AA8" i="1"/>
  <c r="E14" i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fagundes</author>
  </authors>
  <commentList>
    <comment ref="V8" authorId="0" shapeId="0" xr:uid="{2EAC1721-20FD-4BA2-9577-0621C63EA083}">
      <text>
        <r>
          <rPr>
            <b/>
            <sz val="9"/>
            <color indexed="81"/>
            <rFont val="Segoe UI"/>
            <family val="2"/>
          </rPr>
          <t>fagundes:</t>
        </r>
        <r>
          <rPr>
            <sz val="9"/>
            <color indexed="81"/>
            <rFont val="Segoe UI"/>
            <family val="2"/>
          </rPr>
          <t xml:space="preserve">
Não inserir 
</t>
        </r>
      </text>
    </comment>
    <comment ref="AA8" authorId="0" shapeId="0" xr:uid="{600EA5F3-A814-4E37-869E-7F06DE687264}">
      <text>
        <r>
          <rPr>
            <b/>
            <sz val="9"/>
            <color indexed="81"/>
            <rFont val="Segoe UI"/>
            <family val="2"/>
          </rPr>
          <t>fagundes:</t>
        </r>
        <r>
          <rPr>
            <sz val="9"/>
            <color indexed="81"/>
            <rFont val="Segoe UI"/>
            <family val="2"/>
          </rPr>
          <t xml:space="preserve">
Não inserir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fagundes</author>
  </authors>
  <commentList>
    <comment ref="V8" authorId="0" shapeId="0" xr:uid="{63751DA6-A8BE-493D-B9F8-371CD991577F}">
      <text>
        <r>
          <rPr>
            <b/>
            <sz val="9"/>
            <color indexed="81"/>
            <rFont val="Segoe UI"/>
            <family val="2"/>
          </rPr>
          <t>fagundes:</t>
        </r>
        <r>
          <rPr>
            <sz val="9"/>
            <color indexed="81"/>
            <rFont val="Segoe UI"/>
            <family val="2"/>
          </rPr>
          <t xml:space="preserve">
Não inserir 
</t>
        </r>
      </text>
    </comment>
    <comment ref="AA8" authorId="0" shapeId="0" xr:uid="{C50BDF60-CB11-4A54-9333-1B8E1557FE41}">
      <text>
        <r>
          <rPr>
            <b/>
            <sz val="9"/>
            <color indexed="81"/>
            <rFont val="Segoe UI"/>
            <family val="2"/>
          </rPr>
          <t>fagundes:</t>
        </r>
        <r>
          <rPr>
            <sz val="9"/>
            <color indexed="81"/>
            <rFont val="Segoe UI"/>
            <family val="2"/>
          </rPr>
          <t xml:space="preserve">
Não inserir</t>
        </r>
      </text>
    </comment>
  </commentList>
</comments>
</file>

<file path=xl/sharedStrings.xml><?xml version="1.0" encoding="utf-8"?>
<sst xmlns="http://schemas.openxmlformats.org/spreadsheetml/2006/main" count="339" uniqueCount="123">
  <si>
    <t>Cliente:</t>
  </si>
  <si>
    <t>Data:</t>
  </si>
  <si>
    <t>Nº de furos</t>
  </si>
  <si>
    <t>Diâmetro (pol)</t>
  </si>
  <si>
    <t>OBS:</t>
  </si>
  <si>
    <t>Hora:</t>
  </si>
  <si>
    <t>PLANO DE FOGO</t>
  </si>
  <si>
    <t>Tampão</t>
  </si>
  <si>
    <t>Volume desm. /furo (m³)</t>
  </si>
  <si>
    <t>Ass.</t>
  </si>
  <si>
    <t>-</t>
  </si>
  <si>
    <t>Volume projetado topografia (m³)</t>
  </si>
  <si>
    <t>Caso ocorra falha de comunicação entre os explosores comunicar e verificar o que ocorreu.</t>
  </si>
  <si>
    <t>Caso ocorra fuga de energia no eletrônico comunicar e verificar a falha.</t>
  </si>
  <si>
    <t>Plano</t>
  </si>
  <si>
    <t>110/2021</t>
  </si>
  <si>
    <t>Eletrônico (Daveytronic)</t>
  </si>
  <si>
    <t>INSTRUÇÕES:</t>
  </si>
  <si>
    <t>Faixa 09 deverá estar liberada para o desmonte 10 minutos antes da iniciação.</t>
  </si>
  <si>
    <t>Verificar as cargas das caixas detonadoras 01 hora antes da contagem regressiva.</t>
  </si>
  <si>
    <t>Realizar a programação das espoletas de acordo com o plano de amarração.</t>
  </si>
  <si>
    <t>PONTO DE ISOLAMENTO: Respeitar sempre a área de isolamento de segurança para o desmonte.</t>
  </si>
  <si>
    <t>VERIFICAR ESQUEMA DE CARREGAMENTO.</t>
  </si>
  <si>
    <t>Banco / Área</t>
  </si>
  <si>
    <t>Volume total desm. (m³)</t>
  </si>
  <si>
    <t>ESQUEMA DE CARREGAMENTO DOS FUROS</t>
  </si>
  <si>
    <t>Dens. Rocha (g/cm³)</t>
  </si>
  <si>
    <t>Malha mista</t>
  </si>
  <si>
    <t>Coordenadas (N°/Furo):</t>
  </si>
  <si>
    <t>Espaçamento (m)</t>
  </si>
  <si>
    <t>MINERAÇÃO VALE VERDE DO BRASIL LTDA. - PROJETO SERROTE</t>
  </si>
  <si>
    <t>Material 1</t>
  </si>
  <si>
    <t>Material 2</t>
  </si>
  <si>
    <t>Material 3</t>
  </si>
  <si>
    <t>BRITACORD NP 10 BR</t>
  </si>
  <si>
    <t>Área de evacuação para a detonação é de 300 m para equipamentos e 700m para pessoas.</t>
  </si>
  <si>
    <t>Nome: FERNANDELE DIAS DAS CHAGAS</t>
  </si>
  <si>
    <t>Nome: JOSE WILKINSON BRITO DE QUEIROZ</t>
  </si>
  <si>
    <t>N/A</t>
  </si>
  <si>
    <t>Peso Coluna Encartuchado</t>
  </si>
  <si>
    <t>Inclinação (⁰)</t>
  </si>
  <si>
    <t>Relação H/C</t>
  </si>
  <si>
    <t>Enaline 1" x 12m</t>
  </si>
  <si>
    <t>Tipo</t>
  </si>
  <si>
    <t>Realizado</t>
  </si>
  <si>
    <t>ou</t>
  </si>
  <si>
    <t>Previsto</t>
  </si>
  <si>
    <t>Emulsão encartuchada</t>
  </si>
  <si>
    <t>Ibegel 5" x 22"</t>
  </si>
  <si>
    <t>Ibegel 4" x 24"</t>
  </si>
  <si>
    <t>Ibegel 3 1/2" x 24"</t>
  </si>
  <si>
    <t>Ibegel 3 1/2" x 16"</t>
  </si>
  <si>
    <t>Ibegel 3" x 24"</t>
  </si>
  <si>
    <t>Ibegel 3" x 16"</t>
  </si>
  <si>
    <t>Ibegel 3" x 8"</t>
  </si>
  <si>
    <t>Ibegel 2 1/2" x 24"</t>
  </si>
  <si>
    <t>Ibegel 2 1/4" x 24"</t>
  </si>
  <si>
    <t>Ibegel 2" x 24"</t>
  </si>
  <si>
    <t>Ibegel 2" x 16"</t>
  </si>
  <si>
    <t>Ibegel 2" x 8"</t>
  </si>
  <si>
    <t>Ibegel 1 1/2" x 24"</t>
  </si>
  <si>
    <t>Ibegel 1 1/2" x 16"</t>
  </si>
  <si>
    <t>Ibegel 1 1/4" x 24"</t>
  </si>
  <si>
    <t>Ibegel 1 1/4" x 16"</t>
  </si>
  <si>
    <t>Ibegel 1 1/4" x 8"</t>
  </si>
  <si>
    <t>Ibegel 1" x 24"</t>
  </si>
  <si>
    <t>Ibegel 1" x 8"</t>
  </si>
  <si>
    <t>Enaline 1 1/2" x 17m</t>
  </si>
  <si>
    <t>Enaline 1 1/4" x 17m</t>
  </si>
  <si>
    <t>Enaline 1" x 17m</t>
  </si>
  <si>
    <t>Enaline 1 1/2" x 15m</t>
  </si>
  <si>
    <t>Enaline 1 1/4" x 15m</t>
  </si>
  <si>
    <t>Enaline 1" x 15m</t>
  </si>
  <si>
    <t>Enaline 1 1/2" x 12m</t>
  </si>
  <si>
    <t>Enaline 1 1/4" x 12m</t>
  </si>
  <si>
    <t>OBSERVAÇÕES DO CARREGAMENTO - BLASTER</t>
  </si>
  <si>
    <t>EMPRESA RESPONSÁVEL: M. VALE-VERDE</t>
  </si>
  <si>
    <t>EMPRESA EXECUTORA DO SERVIÇO: ENAEX BRASIL</t>
  </si>
  <si>
    <t>RESPONSABILIDADE PERSONALIZADA</t>
  </si>
  <si>
    <t>NOME:</t>
  </si>
  <si>
    <t>DATA:</t>
  </si>
  <si>
    <t xml:space="preserve">CONSUMO NA MESMA DETONAÇÃO: </t>
  </si>
  <si>
    <t>PREENCHIMENTO DO PLANO</t>
  </si>
  <si>
    <t>PESO DO ENCARTUCHADO</t>
  </si>
  <si>
    <t>BRITACORD NP 40 BR</t>
  </si>
  <si>
    <t>Altura média da coluna explosiva</t>
  </si>
  <si>
    <t>*</t>
  </si>
  <si>
    <t>230-220</t>
  </si>
  <si>
    <t>Malha Mista</t>
  </si>
  <si>
    <t>Carga média furo desejada</t>
  </si>
  <si>
    <t>Altura banco</t>
  </si>
  <si>
    <t>Espaçamento</t>
  </si>
  <si>
    <t>Peso Coluna Explosiva</t>
  </si>
  <si>
    <t>INICIADOR ELETRÔNICO</t>
  </si>
  <si>
    <t>Diâmetro</t>
  </si>
  <si>
    <t>Média de perfuração</t>
  </si>
  <si>
    <t>Total de massa desmontada</t>
  </si>
  <si>
    <t>Total encartuchado realizado</t>
  </si>
  <si>
    <t>Zona sem tampão</t>
  </si>
  <si>
    <t>Inclinação</t>
  </si>
  <si>
    <t>Profundidade de projeto</t>
  </si>
  <si>
    <t>Dens. Méd. Expl. (Encartuchado)</t>
  </si>
  <si>
    <t>DESMONTE:</t>
  </si>
  <si>
    <t>Densidade da rocha</t>
  </si>
  <si>
    <t>Não informado</t>
  </si>
  <si>
    <t>PC090526</t>
  </si>
  <si>
    <t>N furos</t>
  </si>
  <si>
    <t>~ Metros destamponados</t>
  </si>
  <si>
    <t>BRITACORD NP 05 BR</t>
  </si>
  <si>
    <t>BRITACORD NP 60 BR</t>
  </si>
  <si>
    <t>Nome: LUAN CARLOS SILVA PEREIRA</t>
  </si>
  <si>
    <t>DVT 5 SP STD 15M BR</t>
  </si>
  <si>
    <t>BRINEL 18M N.10 250 MS BR</t>
  </si>
  <si>
    <t xml:space="preserve">Nome: </t>
  </si>
  <si>
    <t>Inclinação Média</t>
  </si>
  <si>
    <t>REG</t>
  </si>
  <si>
    <t>~Metros tampão</t>
  </si>
  <si>
    <t>REGULARIZAÇÃO</t>
  </si>
  <si>
    <t>Coordenadas (Mina):</t>
  </si>
  <si>
    <t>X-BOOSTER 450</t>
  </si>
  <si>
    <t>BRINEL (NonEl)</t>
  </si>
  <si>
    <t>DVT 5 (Iniciador Eletrônico)</t>
  </si>
  <si>
    <t>X-Booster (Reforçador)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</si>
</sst>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0.0"/>
    <numFmt numFmtId="165" formatCode="0.0\ &quot;m&quot;"/>
    <numFmt numFmtId="166" formatCode="0.000"/>
    <numFmt numFmtId="167" formatCode="h:mm:ss;@"/>
    <numFmt numFmtId="168" formatCode="General\ &quot;m.s.n.m&quot;"/>
    <numFmt numFmtId="169" formatCode="0.00\ &quot;m&quot;"/>
    <numFmt numFmtId="170" formatCode="#,##0.00\ &quot;m&quot;"/>
    <numFmt numFmtId="171" formatCode="0.00\ &quot;g/cm³&quot;"/>
    <numFmt numFmtId="172" formatCode="0.00\ &quot;kg&quot;"/>
    <numFmt numFmtId="173" formatCode="0\ &quot;pç&quot;"/>
    <numFmt numFmtId="174" formatCode="0\ &quot;m&quot;"/>
    <numFmt numFmtId="175" formatCode="0.0\ &quot;''&quot;"/>
    <numFmt numFmtId="176" formatCode="#,##0.00\ &quot;t&quot;"/>
    <numFmt numFmtId="177" formatCode="#,##0.00\ &quot;kg&quot;"/>
    <numFmt numFmtId="178" formatCode="0\ &quot;⁰&quot;"/>
    <numFmt numFmtId="179" formatCode="\~0.00\ &quot;g/cm³&quot;"/>
    <numFmt numFmtId="180" formatCode="0.000\ &quot;kg&quot;"/>
  </numFmts>
  <fonts count="33" x14ac:knownFonts="1">
    <font>
      <sz val="12"/>
      <name val="Arial"/>
    </font>
    <font>
      <sz val="1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7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12"/>
      <color rgb="FFFF0000"/>
      <name val="Arial"/>
      <family val="2"/>
    </font>
    <font>
      <sz val="8"/>
      <color theme="0"/>
      <name val="Arial"/>
      <family val="2"/>
    </font>
    <font>
      <sz val="12"/>
      <color theme="0"/>
      <name val="Arial"/>
      <family val="2"/>
    </font>
    <font>
      <b/>
      <sz val="8"/>
      <color theme="0" tint="-0.1499984740745262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F353F"/>
        <bgColor indexed="64"/>
      </patternFill>
    </fill>
    <fill>
      <patternFill patternType="solid">
        <fgColor theme="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59" applyNumberFormat="0" applyAlignment="0" applyProtection="0"/>
    <xf numFmtId="0" fontId="15" fillId="22" borderId="60" applyNumberFormat="0" applyAlignment="0" applyProtection="0"/>
    <xf numFmtId="0" fontId="16" fillId="0" borderId="61" applyNumberFormat="0" applyFill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7" fillId="29" borderId="59" applyNumberFormat="0" applyAlignment="0" applyProtection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30" borderId="62" applyNumberFormat="0" applyFont="0" applyAlignment="0" applyProtection="0"/>
    <xf numFmtId="0" fontId="18" fillId="21" borderId="63" applyNumberFormat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4" applyNumberFormat="0" applyFill="0" applyAlignment="0" applyProtection="0"/>
    <xf numFmtId="0" fontId="23" fillId="0" borderId="65" applyNumberFormat="0" applyFill="0" applyAlignment="0" applyProtection="0"/>
    <xf numFmtId="0" fontId="24" fillId="0" borderId="66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7" applyNumberFormat="0" applyFill="0" applyAlignment="0" applyProtection="0"/>
    <xf numFmtId="43" fontId="1" fillId="0" borderId="0" applyFont="0" applyFill="0" applyBorder="0" applyAlignment="0" applyProtection="0"/>
  </cellStyleXfs>
  <cellXfs count="291">
    <xf numFmtId="0" fontId="0" fillId="0" borderId="0" xfId="0"/>
    <xf numFmtId="2" fontId="26" fillId="31" borderId="0" xfId="0" applyNumberFormat="1" applyFont="1" applyFill="1" applyAlignment="1">
      <alignment vertical="center"/>
    </xf>
    <xf numFmtId="2" fontId="26" fillId="31" borderId="1" xfId="0" applyNumberFormat="1" applyFont="1" applyFill="1" applyBorder="1" applyAlignment="1">
      <alignment vertical="center"/>
    </xf>
    <xf numFmtId="2" fontId="26" fillId="31" borderId="2" xfId="0" applyNumberFormat="1" applyFont="1" applyFill="1" applyBorder="1" applyAlignment="1">
      <alignment vertical="center"/>
    </xf>
    <xf numFmtId="2" fontId="27" fillId="31" borderId="3" xfId="0" applyNumberFormat="1" applyFont="1" applyFill="1" applyBorder="1" applyAlignment="1">
      <alignment vertical="center"/>
    </xf>
    <xf numFmtId="0" fontId="0" fillId="31" borderId="0" xfId="0" applyFill="1"/>
    <xf numFmtId="0" fontId="2" fillId="31" borderId="1" xfId="0" quotePrefix="1" applyFont="1" applyFill="1" applyBorder="1"/>
    <xf numFmtId="0" fontId="2" fillId="31" borderId="0" xfId="0" quotePrefix="1" applyFont="1" applyFill="1"/>
    <xf numFmtId="1" fontId="4" fillId="31" borderId="0" xfId="0" applyNumberFormat="1" applyFont="1" applyFill="1" applyProtection="1">
      <protection hidden="1"/>
    </xf>
    <xf numFmtId="1" fontId="4" fillId="31" borderId="0" xfId="0" applyNumberFormat="1" applyFont="1" applyFill="1"/>
    <xf numFmtId="2" fontId="28" fillId="31" borderId="0" xfId="0" applyNumberFormat="1" applyFont="1" applyFill="1"/>
    <xf numFmtId="2" fontId="28" fillId="31" borderId="4" xfId="0" applyNumberFormat="1" applyFont="1" applyFill="1" applyBorder="1"/>
    <xf numFmtId="0" fontId="2" fillId="31" borderId="1" xfId="0" applyFont="1" applyFill="1" applyBorder="1"/>
    <xf numFmtId="0" fontId="2" fillId="31" borderId="0" xfId="0" applyFont="1" applyFill="1"/>
    <xf numFmtId="0" fontId="2" fillId="31" borderId="1" xfId="0" applyFont="1" applyFill="1" applyBorder="1" applyAlignment="1">
      <alignment shrinkToFit="1"/>
    </xf>
    <xf numFmtId="0" fontId="2" fillId="31" borderId="0" xfId="0" applyFont="1" applyFill="1" applyAlignment="1">
      <alignment shrinkToFit="1"/>
    </xf>
    <xf numFmtId="0" fontId="2" fillId="31" borderId="3" xfId="0" applyFont="1" applyFill="1" applyBorder="1"/>
    <xf numFmtId="0" fontId="2" fillId="31" borderId="2" xfId="0" applyFont="1" applyFill="1" applyBorder="1"/>
    <xf numFmtId="1" fontId="4" fillId="31" borderId="2" xfId="0" applyNumberFormat="1" applyFont="1" applyFill="1" applyBorder="1" applyProtection="1">
      <protection hidden="1"/>
    </xf>
    <xf numFmtId="1" fontId="4" fillId="31" borderId="2" xfId="0" applyNumberFormat="1" applyFont="1" applyFill="1" applyBorder="1"/>
    <xf numFmtId="2" fontId="28" fillId="31" borderId="2" xfId="0" applyNumberFormat="1" applyFont="1" applyFill="1" applyBorder="1"/>
    <xf numFmtId="2" fontId="28" fillId="31" borderId="5" xfId="0" applyNumberFormat="1" applyFont="1" applyFill="1" applyBorder="1"/>
    <xf numFmtId="0" fontId="9" fillId="31" borderId="6" xfId="0" applyFont="1" applyFill="1" applyBorder="1" applyAlignment="1">
      <alignment vertical="center"/>
    </xf>
    <xf numFmtId="0" fontId="9" fillId="31" borderId="7" xfId="0" applyFont="1" applyFill="1" applyBorder="1" applyAlignment="1">
      <alignment vertical="center"/>
    </xf>
    <xf numFmtId="0" fontId="0" fillId="31" borderId="0" xfId="0" applyFill="1" applyAlignment="1">
      <alignment vertical="center"/>
    </xf>
    <xf numFmtId="0" fontId="1" fillId="31" borderId="0" xfId="0" applyFont="1" applyFill="1" applyAlignment="1">
      <alignment vertical="center"/>
    </xf>
    <xf numFmtId="0" fontId="26" fillId="31" borderId="1" xfId="0" applyFont="1" applyFill="1" applyBorder="1" applyAlignment="1">
      <alignment horizontal="center"/>
    </xf>
    <xf numFmtId="0" fontId="26" fillId="31" borderId="0" xfId="0" applyFont="1" applyFill="1" applyAlignment="1">
      <alignment horizontal="center"/>
    </xf>
    <xf numFmtId="0" fontId="26" fillId="31" borderId="4" xfId="0" applyFont="1" applyFill="1" applyBorder="1" applyAlignment="1">
      <alignment horizontal="center"/>
    </xf>
    <xf numFmtId="14" fontId="9" fillId="31" borderId="8" xfId="0" applyNumberFormat="1" applyFont="1" applyFill="1" applyBorder="1" applyAlignment="1">
      <alignment vertical="center"/>
    </xf>
    <xf numFmtId="14" fontId="9" fillId="31" borderId="9" xfId="0" applyNumberFormat="1" applyFont="1" applyFill="1" applyBorder="1" applyAlignment="1">
      <alignment vertical="center"/>
    </xf>
    <xf numFmtId="0" fontId="27" fillId="31" borderId="1" xfId="0" applyFont="1" applyFill="1" applyBorder="1" applyAlignment="1">
      <alignment vertical="top" wrapText="1"/>
    </xf>
    <xf numFmtId="0" fontId="27" fillId="31" borderId="0" xfId="0" applyFont="1" applyFill="1" applyAlignment="1">
      <alignment vertical="top" wrapText="1"/>
    </xf>
    <xf numFmtId="2" fontId="26" fillId="31" borderId="1" xfId="0" applyNumberFormat="1" applyFont="1" applyFill="1" applyBorder="1" applyAlignment="1">
      <alignment horizontal="left" vertical="center"/>
    </xf>
    <xf numFmtId="2" fontId="26" fillId="31" borderId="0" xfId="0" applyNumberFormat="1" applyFont="1" applyFill="1" applyAlignment="1">
      <alignment horizontal="left" vertical="center"/>
    </xf>
    <xf numFmtId="2" fontId="26" fillId="31" borderId="4" xfId="0" applyNumberFormat="1" applyFont="1" applyFill="1" applyBorder="1" applyAlignment="1">
      <alignment horizontal="left" vertical="center"/>
    </xf>
    <xf numFmtId="2" fontId="27" fillId="31" borderId="1" xfId="0" applyNumberFormat="1" applyFont="1" applyFill="1" applyBorder="1" applyAlignment="1">
      <alignment horizontal="left" vertical="center" wrapText="1"/>
    </xf>
    <xf numFmtId="2" fontId="27" fillId="31" borderId="0" xfId="0" applyNumberFormat="1" applyFont="1" applyFill="1" applyAlignment="1">
      <alignment horizontal="left" vertical="center" wrapText="1"/>
    </xf>
    <xf numFmtId="2" fontId="27" fillId="31" borderId="4" xfId="0" applyNumberFormat="1" applyFont="1" applyFill="1" applyBorder="1" applyAlignment="1">
      <alignment horizontal="left" vertical="center" wrapText="1"/>
    </xf>
    <xf numFmtId="1" fontId="4" fillId="31" borderId="10" xfId="0" applyNumberFormat="1" applyFont="1" applyFill="1" applyBorder="1" applyAlignment="1">
      <alignment horizontal="center" vertical="center"/>
    </xf>
    <xf numFmtId="1" fontId="4" fillId="31" borderId="11" xfId="0" applyNumberFormat="1" applyFont="1" applyFill="1" applyBorder="1" applyAlignment="1">
      <alignment horizontal="center" vertical="center"/>
    </xf>
    <xf numFmtId="0" fontId="0" fillId="31" borderId="1" xfId="0" applyFill="1" applyBorder="1"/>
    <xf numFmtId="0" fontId="0" fillId="31" borderId="4" xfId="0" applyFill="1" applyBorder="1"/>
    <xf numFmtId="0" fontId="27" fillId="31" borderId="4" xfId="0" applyFont="1" applyFill="1" applyBorder="1" applyAlignment="1">
      <alignment vertical="top" wrapText="1"/>
    </xf>
    <xf numFmtId="0" fontId="27" fillId="31" borderId="3" xfId="0" applyFont="1" applyFill="1" applyBorder="1" applyAlignment="1">
      <alignment vertical="top" wrapText="1"/>
    </xf>
    <xf numFmtId="0" fontId="27" fillId="31" borderId="2" xfId="0" applyFont="1" applyFill="1" applyBorder="1" applyAlignment="1">
      <alignment vertical="top" wrapText="1"/>
    </xf>
    <xf numFmtId="0" fontId="27" fillId="31" borderId="5" xfId="0" applyFont="1" applyFill="1" applyBorder="1" applyAlignment="1">
      <alignment vertical="top" wrapText="1"/>
    </xf>
    <xf numFmtId="0" fontId="0" fillId="31" borderId="0" xfId="0" applyFill="1" applyAlignment="1">
      <alignment horizontal="center" vertical="center"/>
    </xf>
    <xf numFmtId="2" fontId="3" fillId="0" borderId="12" xfId="0" applyNumberFormat="1" applyFont="1" applyBorder="1" applyAlignment="1" applyProtection="1">
      <alignment horizontal="center" vertical="center"/>
      <protection locked="0"/>
    </xf>
    <xf numFmtId="0" fontId="1" fillId="31" borderId="0" xfId="0" applyFont="1" applyFill="1" applyAlignment="1">
      <alignment horizontal="center" vertical="center"/>
    </xf>
    <xf numFmtId="0" fontId="1" fillId="32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31" borderId="12" xfId="0" applyFill="1" applyBorder="1" applyAlignment="1">
      <alignment horizontal="center" vertical="center"/>
    </xf>
    <xf numFmtId="14" fontId="0" fillId="31" borderId="12" xfId="0" applyNumberFormat="1" applyFill="1" applyBorder="1" applyAlignment="1">
      <alignment horizontal="center" vertical="center"/>
    </xf>
    <xf numFmtId="0" fontId="3" fillId="31" borderId="12" xfId="0" applyFont="1" applyFill="1" applyBorder="1" applyAlignment="1">
      <alignment horizontal="center" vertical="center"/>
    </xf>
    <xf numFmtId="21" fontId="0" fillId="31" borderId="12" xfId="0" applyNumberFormat="1" applyFill="1" applyBorder="1" applyAlignment="1">
      <alignment horizontal="center" vertical="center"/>
    </xf>
    <xf numFmtId="0" fontId="1" fillId="32" borderId="13" xfId="0" applyFont="1" applyFill="1" applyBorder="1" applyAlignment="1">
      <alignment horizontal="center" vertical="center"/>
    </xf>
    <xf numFmtId="0" fontId="1" fillId="32" borderId="14" xfId="0" applyFont="1" applyFill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0" fontId="0" fillId="31" borderId="12" xfId="0" applyFill="1" applyBorder="1" applyAlignment="1">
      <alignment horizontal="left" vertical="center"/>
    </xf>
    <xf numFmtId="0" fontId="3" fillId="31" borderId="12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33" borderId="12" xfId="0" applyFill="1" applyBorder="1" applyAlignment="1">
      <alignment horizontal="left" vertical="center"/>
    </xf>
    <xf numFmtId="0" fontId="0" fillId="33" borderId="12" xfId="0" applyFill="1" applyBorder="1" applyAlignment="1">
      <alignment horizontal="center" vertical="center"/>
    </xf>
    <xf numFmtId="0" fontId="1" fillId="31" borderId="12" xfId="0" applyFont="1" applyFill="1" applyBorder="1" applyAlignment="1">
      <alignment horizontal="center" vertical="center"/>
    </xf>
    <xf numFmtId="0" fontId="0" fillId="31" borderId="12" xfId="0" quotePrefix="1" applyFill="1" applyBorder="1" applyAlignment="1">
      <alignment horizontal="left" vertical="center"/>
    </xf>
    <xf numFmtId="0" fontId="29" fillId="31" borderId="12" xfId="0" applyFont="1" applyFill="1" applyBorder="1" applyAlignment="1">
      <alignment horizontal="center" vertical="center"/>
    </xf>
    <xf numFmtId="0" fontId="3" fillId="32" borderId="12" xfId="0" applyFont="1" applyFill="1" applyBorder="1" applyAlignment="1">
      <alignment horizontal="left" vertical="center"/>
    </xf>
    <xf numFmtId="0" fontId="0" fillId="32" borderId="12" xfId="0" applyFill="1" applyBorder="1" applyAlignment="1">
      <alignment horizontal="center" vertical="center"/>
    </xf>
    <xf numFmtId="1" fontId="30" fillId="34" borderId="12" xfId="0" applyNumberFormat="1" applyFont="1" applyFill="1" applyBorder="1" applyAlignment="1">
      <alignment horizontal="center" vertical="center"/>
    </xf>
    <xf numFmtId="0" fontId="29" fillId="35" borderId="12" xfId="0" applyFont="1" applyFill="1" applyBorder="1" applyAlignment="1">
      <alignment horizontal="left" vertical="center"/>
    </xf>
    <xf numFmtId="1" fontId="3" fillId="31" borderId="12" xfId="0" applyNumberFormat="1" applyFont="1" applyFill="1" applyBorder="1" applyAlignment="1">
      <alignment horizontal="center" vertical="center"/>
    </xf>
    <xf numFmtId="21" fontId="3" fillId="31" borderId="12" xfId="0" applyNumberFormat="1" applyFont="1" applyFill="1" applyBorder="1" applyAlignment="1">
      <alignment horizontal="center" vertical="center"/>
    </xf>
    <xf numFmtId="14" fontId="3" fillId="31" borderId="12" xfId="0" applyNumberFormat="1" applyFont="1" applyFill="1" applyBorder="1" applyAlignment="1">
      <alignment horizontal="center" vertical="center"/>
    </xf>
    <xf numFmtId="169" fontId="4" fillId="31" borderId="12" xfId="0" applyNumberFormat="1" applyFont="1" applyFill="1" applyBorder="1" applyAlignment="1" applyProtection="1">
      <alignment horizontal="center" vertical="center"/>
      <protection hidden="1"/>
    </xf>
    <xf numFmtId="0" fontId="2" fillId="32" borderId="12" xfId="0" applyFont="1" applyFill="1" applyBorder="1" applyAlignment="1">
      <alignment horizontal="left" vertical="center"/>
    </xf>
    <xf numFmtId="0" fontId="2" fillId="31" borderId="15" xfId="0" applyFont="1" applyFill="1" applyBorder="1" applyAlignment="1">
      <alignment horizontal="left" vertical="center"/>
    </xf>
    <xf numFmtId="0" fontId="2" fillId="31" borderId="16" xfId="0" applyFont="1" applyFill="1" applyBorder="1" applyAlignment="1">
      <alignment horizontal="left" vertical="center"/>
    </xf>
    <xf numFmtId="0" fontId="2" fillId="31" borderId="17" xfId="0" applyFont="1" applyFill="1" applyBorder="1" applyAlignment="1">
      <alignment horizontal="left" vertical="center"/>
    </xf>
    <xf numFmtId="0" fontId="0" fillId="31" borderId="6" xfId="0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0" fontId="0" fillId="31" borderId="50" xfId="0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31" borderId="4" xfId="0" applyFill="1" applyBorder="1" applyAlignment="1">
      <alignment horizontal="center"/>
    </xf>
    <xf numFmtId="0" fontId="0" fillId="31" borderId="3" xfId="0" applyFill="1" applyBorder="1" applyAlignment="1">
      <alignment horizontal="center"/>
    </xf>
    <xf numFmtId="0" fontId="0" fillId="31" borderId="2" xfId="0" applyFill="1" applyBorder="1" applyAlignment="1">
      <alignment horizontal="center"/>
    </xf>
    <xf numFmtId="0" fontId="0" fillId="31" borderId="5" xfId="0" applyFill="1" applyBorder="1" applyAlignment="1">
      <alignment horizontal="center"/>
    </xf>
    <xf numFmtId="0" fontId="28" fillId="34" borderId="6" xfId="0" applyFont="1" applyFill="1" applyBorder="1" applyAlignment="1">
      <alignment horizontal="center" vertical="center"/>
    </xf>
    <xf numFmtId="0" fontId="28" fillId="34" borderId="7" xfId="0" applyFont="1" applyFill="1" applyBorder="1" applyAlignment="1">
      <alignment horizontal="center" vertical="center"/>
    </xf>
    <xf numFmtId="0" fontId="28" fillId="34" borderId="50" xfId="0" applyFont="1" applyFill="1" applyBorder="1" applyAlignment="1">
      <alignment horizontal="center" vertical="center"/>
    </xf>
    <xf numFmtId="0" fontId="28" fillId="34" borderId="3" xfId="0" applyFont="1" applyFill="1" applyBorder="1" applyAlignment="1">
      <alignment horizontal="center" vertical="center"/>
    </xf>
    <xf numFmtId="0" fontId="28" fillId="34" borderId="2" xfId="0" applyFont="1" applyFill="1" applyBorder="1" applyAlignment="1">
      <alignment horizontal="center" vertical="center"/>
    </xf>
    <xf numFmtId="0" fontId="28" fillId="34" borderId="5" xfId="0" applyFont="1" applyFill="1" applyBorder="1" applyAlignment="1">
      <alignment horizontal="center" vertical="center"/>
    </xf>
    <xf numFmtId="0" fontId="27" fillId="32" borderId="12" xfId="0" applyFont="1" applyFill="1" applyBorder="1" applyAlignment="1">
      <alignment horizontal="left" vertical="center"/>
    </xf>
    <xf numFmtId="2" fontId="26" fillId="32" borderId="15" xfId="0" applyNumberFormat="1" applyFont="1" applyFill="1" applyBorder="1" applyAlignment="1" applyProtection="1">
      <alignment horizontal="center" vertical="center"/>
      <protection hidden="1"/>
    </xf>
    <xf numFmtId="2" fontId="26" fillId="32" borderId="17" xfId="0" applyNumberFormat="1" applyFont="1" applyFill="1" applyBorder="1" applyAlignment="1" applyProtection="1">
      <alignment horizontal="center" vertical="center"/>
      <protection hidden="1"/>
    </xf>
    <xf numFmtId="0" fontId="2" fillId="31" borderId="22" xfId="0" applyFont="1" applyFill="1" applyBorder="1" applyAlignment="1">
      <alignment horizontal="left" vertical="center"/>
    </xf>
    <xf numFmtId="0" fontId="2" fillId="31" borderId="12" xfId="0" applyFont="1" applyFill="1" applyBorder="1" applyAlignment="1">
      <alignment horizontal="left" vertical="center"/>
    </xf>
    <xf numFmtId="165" fontId="4" fillId="31" borderId="12" xfId="0" applyNumberFormat="1" applyFont="1" applyFill="1" applyBorder="1" applyAlignment="1" applyProtection="1">
      <alignment horizontal="center" vertical="center"/>
      <protection hidden="1"/>
    </xf>
    <xf numFmtId="0" fontId="5" fillId="31" borderId="13" xfId="0" quotePrefix="1" applyFont="1" applyFill="1" applyBorder="1" applyAlignment="1">
      <alignment horizontal="left" vertical="top"/>
    </xf>
    <xf numFmtId="0" fontId="5" fillId="31" borderId="10" xfId="0" quotePrefix="1" applyFont="1" applyFill="1" applyBorder="1" applyAlignment="1">
      <alignment horizontal="left" vertical="top"/>
    </xf>
    <xf numFmtId="0" fontId="5" fillId="31" borderId="11" xfId="0" quotePrefix="1" applyFont="1" applyFill="1" applyBorder="1" applyAlignment="1">
      <alignment horizontal="left" vertical="top"/>
    </xf>
    <xf numFmtId="0" fontId="5" fillId="31" borderId="23" xfId="0" quotePrefix="1" applyFont="1" applyFill="1" applyBorder="1" applyAlignment="1">
      <alignment horizontal="left" vertical="top"/>
    </xf>
    <xf numFmtId="0" fontId="5" fillId="31" borderId="2" xfId="0" quotePrefix="1" applyFont="1" applyFill="1" applyBorder="1" applyAlignment="1">
      <alignment horizontal="left" vertical="top"/>
    </xf>
    <xf numFmtId="0" fontId="5" fillId="31" borderId="5" xfId="0" quotePrefix="1" applyFont="1" applyFill="1" applyBorder="1" applyAlignment="1">
      <alignment horizontal="left" vertical="top"/>
    </xf>
    <xf numFmtId="0" fontId="5" fillId="31" borderId="12" xfId="0" quotePrefix="1" applyFont="1" applyFill="1" applyBorder="1" applyAlignment="1">
      <alignment horizontal="left" vertical="top"/>
    </xf>
    <xf numFmtId="0" fontId="5" fillId="31" borderId="19" xfId="0" quotePrefix="1" applyFont="1" applyFill="1" applyBorder="1" applyAlignment="1">
      <alignment horizontal="left" vertical="top"/>
    </xf>
    <xf numFmtId="0" fontId="5" fillId="31" borderId="20" xfId="0" quotePrefix="1" applyFont="1" applyFill="1" applyBorder="1" applyAlignment="1">
      <alignment horizontal="left" vertical="top"/>
    </xf>
    <xf numFmtId="0" fontId="5" fillId="31" borderId="21" xfId="0" quotePrefix="1" applyFont="1" applyFill="1" applyBorder="1" applyAlignment="1">
      <alignment horizontal="left" vertical="top"/>
    </xf>
    <xf numFmtId="0" fontId="2" fillId="31" borderId="25" xfId="0" quotePrefix="1" applyFont="1" applyFill="1" applyBorder="1" applyAlignment="1">
      <alignment horizontal="center" vertical="center"/>
    </xf>
    <xf numFmtId="0" fontId="2" fillId="31" borderId="26" xfId="0" quotePrefix="1" applyFont="1" applyFill="1" applyBorder="1" applyAlignment="1">
      <alignment horizontal="center" vertical="center"/>
    </xf>
    <xf numFmtId="0" fontId="28" fillId="34" borderId="27" xfId="0" quotePrefix="1" applyFont="1" applyFill="1" applyBorder="1" applyAlignment="1">
      <alignment horizontal="center" vertical="center"/>
    </xf>
    <xf numFmtId="0" fontId="28" fillId="34" borderId="28" xfId="0" quotePrefix="1" applyFont="1" applyFill="1" applyBorder="1" applyAlignment="1">
      <alignment horizontal="center" vertical="center"/>
    </xf>
    <xf numFmtId="0" fontId="28" fillId="34" borderId="30" xfId="0" quotePrefix="1" applyFont="1" applyFill="1" applyBorder="1" applyAlignment="1">
      <alignment horizontal="center" vertical="center"/>
    </xf>
    <xf numFmtId="0" fontId="28" fillId="34" borderId="29" xfId="0" quotePrefix="1" applyFont="1" applyFill="1" applyBorder="1" applyAlignment="1">
      <alignment horizontal="center" vertical="center"/>
    </xf>
    <xf numFmtId="0" fontId="27" fillId="31" borderId="22" xfId="0" applyFont="1" applyFill="1" applyBorder="1" applyAlignment="1">
      <alignment horizontal="left" vertical="center" shrinkToFit="1"/>
    </xf>
    <xf numFmtId="0" fontId="27" fillId="31" borderId="16" xfId="0" applyFont="1" applyFill="1" applyBorder="1" applyAlignment="1">
      <alignment horizontal="left" vertical="center" shrinkToFit="1"/>
    </xf>
    <xf numFmtId="0" fontId="27" fillId="31" borderId="17" xfId="0" applyFont="1" applyFill="1" applyBorder="1" applyAlignment="1">
      <alignment horizontal="left" vertical="center" shrinkToFit="1"/>
    </xf>
    <xf numFmtId="14" fontId="2" fillId="31" borderId="24" xfId="0" quotePrefix="1" applyNumberFormat="1" applyFont="1" applyFill="1" applyBorder="1" applyAlignment="1">
      <alignment horizontal="left" vertical="center"/>
    </xf>
    <xf numFmtId="0" fontId="2" fillId="31" borderId="20" xfId="0" quotePrefix="1" applyFont="1" applyFill="1" applyBorder="1" applyAlignment="1">
      <alignment horizontal="left" vertical="center"/>
    </xf>
    <xf numFmtId="0" fontId="2" fillId="31" borderId="18" xfId="0" quotePrefix="1" applyFont="1" applyFill="1" applyBorder="1" applyAlignment="1">
      <alignment horizontal="left" vertical="center"/>
    </xf>
    <xf numFmtId="0" fontId="2" fillId="31" borderId="12" xfId="0" quotePrefix="1" applyFont="1" applyFill="1" applyBorder="1" applyAlignment="1">
      <alignment horizontal="left" vertical="center"/>
    </xf>
    <xf numFmtId="0" fontId="2" fillId="31" borderId="22" xfId="0" quotePrefix="1" applyFont="1" applyFill="1" applyBorder="1" applyAlignment="1">
      <alignment horizontal="left" vertical="center"/>
    </xf>
    <xf numFmtId="0" fontId="2" fillId="31" borderId="17" xfId="0" quotePrefix="1" applyFont="1" applyFill="1" applyBorder="1" applyAlignment="1">
      <alignment horizontal="left" vertical="center"/>
    </xf>
    <xf numFmtId="164" fontId="32" fillId="32" borderId="9" xfId="0" applyNumberFormat="1" applyFont="1" applyFill="1" applyBorder="1" applyAlignment="1" applyProtection="1">
      <alignment horizontal="center" vertical="center"/>
      <protection hidden="1"/>
    </xf>
    <xf numFmtId="164" fontId="32" fillId="32" borderId="56" xfId="0" applyNumberFormat="1" applyFont="1" applyFill="1" applyBorder="1" applyAlignment="1" applyProtection="1">
      <alignment horizontal="center" vertical="center"/>
      <protection hidden="1"/>
    </xf>
    <xf numFmtId="0" fontId="32" fillId="32" borderId="57" xfId="0" applyFont="1" applyFill="1" applyBorder="1" applyAlignment="1" applyProtection="1">
      <alignment horizontal="center" vertical="center"/>
      <protection hidden="1"/>
    </xf>
    <xf numFmtId="0" fontId="32" fillId="32" borderId="9" xfId="0" applyFont="1" applyFill="1" applyBorder="1" applyAlignment="1" applyProtection="1">
      <alignment horizontal="center" vertical="center"/>
      <protection hidden="1"/>
    </xf>
    <xf numFmtId="0" fontId="2" fillId="32" borderId="15" xfId="0" applyFont="1" applyFill="1" applyBorder="1" applyAlignment="1">
      <alignment horizontal="left" vertical="center"/>
    </xf>
    <xf numFmtId="0" fontId="2" fillId="32" borderId="16" xfId="0" applyFont="1" applyFill="1" applyBorder="1" applyAlignment="1">
      <alignment horizontal="left" vertical="center"/>
    </xf>
    <xf numFmtId="0" fontId="2" fillId="32" borderId="17" xfId="0" applyFont="1" applyFill="1" applyBorder="1" applyAlignment="1">
      <alignment horizontal="left" vertical="center"/>
    </xf>
    <xf numFmtId="164" fontId="4" fillId="32" borderId="15" xfId="0" applyNumberFormat="1" applyFont="1" applyFill="1" applyBorder="1" applyAlignment="1" applyProtection="1">
      <alignment horizontal="center" vertical="center"/>
      <protection hidden="1"/>
    </xf>
    <xf numFmtId="164" fontId="4" fillId="32" borderId="34" xfId="0" applyNumberFormat="1" applyFont="1" applyFill="1" applyBorder="1" applyAlignment="1" applyProtection="1">
      <alignment horizontal="center" vertical="center"/>
      <protection hidden="1"/>
    </xf>
    <xf numFmtId="174" fontId="4" fillId="31" borderId="15" xfId="0" applyNumberFormat="1" applyFont="1" applyFill="1" applyBorder="1" applyAlignment="1" applyProtection="1">
      <alignment horizontal="center" vertical="center"/>
      <protection hidden="1"/>
    </xf>
    <xf numFmtId="174" fontId="4" fillId="31" borderId="16" xfId="0" applyNumberFormat="1" applyFont="1" applyFill="1" applyBorder="1" applyAlignment="1" applyProtection="1">
      <alignment horizontal="center" vertical="center"/>
      <protection hidden="1"/>
    </xf>
    <xf numFmtId="174" fontId="4" fillId="31" borderId="17" xfId="0" applyNumberFormat="1" applyFont="1" applyFill="1" applyBorder="1" applyAlignment="1" applyProtection="1">
      <alignment horizontal="center" vertical="center"/>
      <protection hidden="1"/>
    </xf>
    <xf numFmtId="0" fontId="2" fillId="31" borderId="18" xfId="0" applyFont="1" applyFill="1" applyBorder="1" applyAlignment="1">
      <alignment horizontal="left" vertical="center"/>
    </xf>
    <xf numFmtId="2" fontId="27" fillId="31" borderId="1" xfId="0" applyNumberFormat="1" applyFont="1" applyFill="1" applyBorder="1" applyAlignment="1">
      <alignment horizontal="left" vertical="center" wrapText="1"/>
    </xf>
    <xf numFmtId="2" fontId="27" fillId="31" borderId="0" xfId="0" applyNumberFormat="1" applyFont="1" applyFill="1" applyAlignment="1">
      <alignment horizontal="left" vertical="center" wrapText="1"/>
    </xf>
    <xf numFmtId="2" fontId="27" fillId="31" borderId="4" xfId="0" applyNumberFormat="1" applyFont="1" applyFill="1" applyBorder="1" applyAlignment="1">
      <alignment horizontal="left" vertical="center" wrapText="1"/>
    </xf>
    <xf numFmtId="0" fontId="2" fillId="31" borderId="19" xfId="0" quotePrefix="1" applyFont="1" applyFill="1" applyBorder="1" applyAlignment="1">
      <alignment horizontal="left" vertical="center"/>
    </xf>
    <xf numFmtId="0" fontId="28" fillId="34" borderId="31" xfId="0" quotePrefix="1" applyFont="1" applyFill="1" applyBorder="1" applyAlignment="1">
      <alignment horizontal="center" vertical="center"/>
    </xf>
    <xf numFmtId="0" fontId="28" fillId="34" borderId="32" xfId="0" quotePrefix="1" applyFont="1" applyFill="1" applyBorder="1" applyAlignment="1">
      <alignment horizontal="center" vertical="center"/>
    </xf>
    <xf numFmtId="0" fontId="28" fillId="34" borderId="33" xfId="0" quotePrefix="1" applyFont="1" applyFill="1" applyBorder="1" applyAlignment="1">
      <alignment horizontal="center" vertical="center"/>
    </xf>
    <xf numFmtId="178" fontId="4" fillId="31" borderId="15" xfId="0" quotePrefix="1" applyNumberFormat="1" applyFont="1" applyFill="1" applyBorder="1" applyAlignment="1" applyProtection="1">
      <alignment horizontal="center" vertical="center"/>
      <protection hidden="1"/>
    </xf>
    <xf numFmtId="178" fontId="4" fillId="31" borderId="34" xfId="0" applyNumberFormat="1" applyFont="1" applyFill="1" applyBorder="1" applyAlignment="1" applyProtection="1">
      <alignment horizontal="center" vertical="center"/>
      <protection hidden="1"/>
    </xf>
    <xf numFmtId="0" fontId="2" fillId="31" borderId="15" xfId="0" quotePrefix="1" applyFont="1" applyFill="1" applyBorder="1" applyAlignment="1">
      <alignment horizontal="left" vertical="center"/>
    </xf>
    <xf numFmtId="0" fontId="2" fillId="31" borderId="16" xfId="0" quotePrefix="1" applyFont="1" applyFill="1" applyBorder="1" applyAlignment="1">
      <alignment horizontal="left" vertical="center"/>
    </xf>
    <xf numFmtId="0" fontId="2" fillId="31" borderId="18" xfId="0" applyFont="1" applyFill="1" applyBorder="1" applyAlignment="1">
      <alignment horizontal="center" vertical="center" shrinkToFit="1"/>
    </xf>
    <xf numFmtId="0" fontId="2" fillId="31" borderId="12" xfId="0" applyFont="1" applyFill="1" applyBorder="1" applyAlignment="1">
      <alignment horizontal="center" vertical="center" shrinkToFit="1"/>
    </xf>
    <xf numFmtId="176" fontId="4" fillId="31" borderId="12" xfId="0" applyNumberFormat="1" applyFont="1" applyFill="1" applyBorder="1" applyAlignment="1" applyProtection="1">
      <alignment horizontal="center" vertical="center"/>
      <protection hidden="1"/>
    </xf>
    <xf numFmtId="0" fontId="2" fillId="31" borderId="34" xfId="0" quotePrefix="1" applyFont="1" applyFill="1" applyBorder="1" applyAlignment="1">
      <alignment horizontal="left" vertical="center"/>
    </xf>
    <xf numFmtId="2" fontId="27" fillId="31" borderId="1" xfId="0" applyNumberFormat="1" applyFont="1" applyFill="1" applyBorder="1" applyAlignment="1">
      <alignment horizontal="left" vertical="center"/>
    </xf>
    <xf numFmtId="2" fontId="27" fillId="31" borderId="0" xfId="0" applyNumberFormat="1" applyFont="1" applyFill="1" applyAlignment="1">
      <alignment horizontal="left" vertical="center"/>
    </xf>
    <xf numFmtId="2" fontId="27" fillId="31" borderId="4" xfId="0" applyNumberFormat="1" applyFont="1" applyFill="1" applyBorder="1" applyAlignment="1">
      <alignment horizontal="left" vertical="center"/>
    </xf>
    <xf numFmtId="0" fontId="2" fillId="31" borderId="53" xfId="0" applyFont="1" applyFill="1" applyBorder="1" applyAlignment="1">
      <alignment horizontal="left" vertical="center"/>
    </xf>
    <xf numFmtId="0" fontId="2" fillId="31" borderId="10" xfId="0" applyFont="1" applyFill="1" applyBorder="1" applyAlignment="1">
      <alignment horizontal="left" vertical="center"/>
    </xf>
    <xf numFmtId="0" fontId="2" fillId="31" borderId="14" xfId="0" applyFont="1" applyFill="1" applyBorder="1" applyAlignment="1">
      <alignment horizontal="left" vertical="center"/>
    </xf>
    <xf numFmtId="0" fontId="2" fillId="31" borderId="1" xfId="0" applyFont="1" applyFill="1" applyBorder="1" applyAlignment="1">
      <alignment horizontal="left" vertical="center"/>
    </xf>
    <xf numFmtId="0" fontId="2" fillId="31" borderId="0" xfId="0" applyFont="1" applyFill="1" applyAlignment="1">
      <alignment horizontal="left" vertical="center"/>
    </xf>
    <xf numFmtId="0" fontId="2" fillId="31" borderId="54" xfId="0" applyFont="1" applyFill="1" applyBorder="1" applyAlignment="1">
      <alignment horizontal="left" vertical="center"/>
    </xf>
    <xf numFmtId="170" fontId="4" fillId="31" borderId="13" xfId="0" applyNumberFormat="1" applyFont="1" applyFill="1" applyBorder="1" applyAlignment="1" applyProtection="1">
      <alignment horizontal="center" vertical="center"/>
      <protection hidden="1"/>
    </xf>
    <xf numFmtId="170" fontId="4" fillId="31" borderId="10" xfId="0" applyNumberFormat="1" applyFont="1" applyFill="1" applyBorder="1" applyAlignment="1" applyProtection="1">
      <alignment horizontal="center" vertical="center"/>
      <protection hidden="1"/>
    </xf>
    <xf numFmtId="170" fontId="4" fillId="31" borderId="14" xfId="0" applyNumberFormat="1" applyFont="1" applyFill="1" applyBorder="1" applyAlignment="1" applyProtection="1">
      <alignment horizontal="center" vertical="center"/>
      <protection hidden="1"/>
    </xf>
    <xf numFmtId="170" fontId="4" fillId="31" borderId="55" xfId="0" applyNumberFormat="1" applyFont="1" applyFill="1" applyBorder="1" applyAlignment="1" applyProtection="1">
      <alignment horizontal="center" vertical="center"/>
      <protection hidden="1"/>
    </xf>
    <xf numFmtId="170" fontId="4" fillId="31" borderId="0" xfId="0" applyNumberFormat="1" applyFont="1" applyFill="1" applyAlignment="1" applyProtection="1">
      <alignment horizontal="center" vertical="center"/>
      <protection hidden="1"/>
    </xf>
    <xf numFmtId="170" fontId="4" fillId="31" borderId="54" xfId="0" applyNumberFormat="1" applyFont="1" applyFill="1" applyBorder="1" applyAlignment="1" applyProtection="1">
      <alignment horizontal="center" vertical="center"/>
      <protection hidden="1"/>
    </xf>
    <xf numFmtId="165" fontId="4" fillId="32" borderId="12" xfId="0" applyNumberFormat="1" applyFont="1" applyFill="1" applyBorder="1" applyAlignment="1" applyProtection="1">
      <alignment horizontal="center" vertical="center"/>
      <protection hidden="1"/>
    </xf>
    <xf numFmtId="49" fontId="9" fillId="31" borderId="7" xfId="0" applyNumberFormat="1" applyFont="1" applyFill="1" applyBorder="1" applyAlignment="1">
      <alignment horizontal="center" vertical="center"/>
    </xf>
    <xf numFmtId="49" fontId="9" fillId="31" borderId="50" xfId="0" applyNumberFormat="1" applyFont="1" applyFill="1" applyBorder="1" applyAlignment="1">
      <alignment horizontal="center" vertical="center"/>
    </xf>
    <xf numFmtId="49" fontId="9" fillId="31" borderId="9" xfId="0" applyNumberFormat="1" applyFont="1" applyFill="1" applyBorder="1" applyAlignment="1">
      <alignment horizontal="center" vertical="center"/>
    </xf>
    <xf numFmtId="49" fontId="9" fillId="31" borderId="58" xfId="0" applyNumberFormat="1" applyFont="1" applyFill="1" applyBorder="1" applyAlignment="1">
      <alignment horizontal="center" vertical="center"/>
    </xf>
    <xf numFmtId="0" fontId="4" fillId="31" borderId="15" xfId="0" quotePrefix="1" applyFont="1" applyFill="1" applyBorder="1" applyAlignment="1" applyProtection="1">
      <alignment horizontal="center" vertical="center"/>
      <protection hidden="1"/>
    </xf>
    <xf numFmtId="0" fontId="4" fillId="31" borderId="34" xfId="0" applyFont="1" applyFill="1" applyBorder="1" applyAlignment="1" applyProtection="1">
      <alignment horizontal="center" vertical="center"/>
      <protection hidden="1"/>
    </xf>
    <xf numFmtId="14" fontId="30" fillId="34" borderId="15" xfId="0" applyNumberFormat="1" applyFont="1" applyFill="1" applyBorder="1" applyAlignment="1" applyProtection="1">
      <alignment horizontal="center" vertical="center"/>
      <protection hidden="1"/>
    </xf>
    <xf numFmtId="14" fontId="30" fillId="34" borderId="16" xfId="0" applyNumberFormat="1" applyFont="1" applyFill="1" applyBorder="1" applyAlignment="1" applyProtection="1">
      <alignment horizontal="center" vertical="center"/>
      <protection hidden="1"/>
    </xf>
    <xf numFmtId="14" fontId="30" fillId="34" borderId="17" xfId="0" applyNumberFormat="1" applyFont="1" applyFill="1" applyBorder="1" applyAlignment="1" applyProtection="1">
      <alignment horizontal="center" vertical="center"/>
      <protection hidden="1"/>
    </xf>
    <xf numFmtId="4" fontId="30" fillId="34" borderId="15" xfId="0" applyNumberFormat="1" applyFont="1" applyFill="1" applyBorder="1" applyAlignment="1" applyProtection="1">
      <alignment horizontal="center" vertical="center"/>
      <protection hidden="1"/>
    </xf>
    <xf numFmtId="4" fontId="30" fillId="34" borderId="17" xfId="0" applyNumberFormat="1" applyFont="1" applyFill="1" applyBorder="1" applyAlignment="1" applyProtection="1">
      <alignment horizontal="center" vertical="center"/>
      <protection hidden="1"/>
    </xf>
    <xf numFmtId="0" fontId="4" fillId="31" borderId="12" xfId="0" applyFont="1" applyFill="1" applyBorder="1" applyAlignment="1" applyProtection="1">
      <alignment horizontal="center" vertical="center"/>
      <protection hidden="1"/>
    </xf>
    <xf numFmtId="0" fontId="10" fillId="31" borderId="7" xfId="0" applyFont="1" applyFill="1" applyBorder="1" applyAlignment="1">
      <alignment horizontal="center" vertical="center"/>
    </xf>
    <xf numFmtId="0" fontId="10" fillId="31" borderId="9" xfId="0" applyFont="1" applyFill="1" applyBorder="1" applyAlignment="1">
      <alignment horizontal="center" vertical="center"/>
    </xf>
    <xf numFmtId="0" fontId="28" fillId="34" borderId="22" xfId="0" applyFont="1" applyFill="1" applyBorder="1" applyAlignment="1">
      <alignment horizontal="left" vertical="center"/>
    </xf>
    <xf numFmtId="0" fontId="28" fillId="34" borderId="16" xfId="0" applyFont="1" applyFill="1" applyBorder="1" applyAlignment="1">
      <alignment horizontal="left" vertical="center"/>
    </xf>
    <xf numFmtId="0" fontId="28" fillId="34" borderId="17" xfId="0" applyFont="1" applyFill="1" applyBorder="1" applyAlignment="1">
      <alignment horizontal="left" vertical="center"/>
    </xf>
    <xf numFmtId="0" fontId="30" fillId="34" borderId="15" xfId="0" applyFont="1" applyFill="1" applyBorder="1" applyAlignment="1">
      <alignment horizontal="center" vertical="center"/>
    </xf>
    <xf numFmtId="0" fontId="30" fillId="34" borderId="16" xfId="0" applyFont="1" applyFill="1" applyBorder="1" applyAlignment="1">
      <alignment horizontal="center" vertical="center"/>
    </xf>
    <xf numFmtId="0" fontId="30" fillId="34" borderId="34" xfId="0" applyFont="1" applyFill="1" applyBorder="1" applyAlignment="1">
      <alignment horizontal="center" vertical="center"/>
    </xf>
    <xf numFmtId="167" fontId="30" fillId="34" borderId="15" xfId="0" applyNumberFormat="1" applyFont="1" applyFill="1" applyBorder="1" applyAlignment="1" applyProtection="1">
      <alignment horizontal="center" vertical="center"/>
      <protection hidden="1"/>
    </xf>
    <xf numFmtId="167" fontId="30" fillId="34" borderId="34" xfId="0" applyNumberFormat="1" applyFont="1" applyFill="1" applyBorder="1" applyAlignment="1" applyProtection="1">
      <alignment horizontal="center" vertical="center"/>
      <protection hidden="1"/>
    </xf>
    <xf numFmtId="172" fontId="4" fillId="32" borderId="15" xfId="0" applyNumberFormat="1" applyFont="1" applyFill="1" applyBorder="1" applyAlignment="1" applyProtection="1">
      <alignment horizontal="center" vertical="center"/>
      <protection hidden="1"/>
    </xf>
    <xf numFmtId="172" fontId="4" fillId="32" borderId="17" xfId="0" applyNumberFormat="1" applyFont="1" applyFill="1" applyBorder="1" applyAlignment="1" applyProtection="1">
      <alignment horizontal="center" vertical="center"/>
      <protection hidden="1"/>
    </xf>
    <xf numFmtId="0" fontId="28" fillId="34" borderId="15" xfId="0" applyFont="1" applyFill="1" applyBorder="1" applyAlignment="1" applyProtection="1">
      <alignment horizontal="center" vertical="center"/>
      <protection hidden="1"/>
    </xf>
    <xf numFmtId="0" fontId="28" fillId="34" borderId="17" xfId="0" applyFont="1" applyFill="1" applyBorder="1" applyAlignment="1" applyProtection="1">
      <alignment horizontal="center" vertical="center"/>
      <protection hidden="1"/>
    </xf>
    <xf numFmtId="175" fontId="4" fillId="31" borderId="12" xfId="0" applyNumberFormat="1" applyFont="1" applyFill="1" applyBorder="1" applyAlignment="1" applyProtection="1">
      <alignment horizontal="center" vertical="center"/>
      <protection hidden="1"/>
    </xf>
    <xf numFmtId="49" fontId="9" fillId="31" borderId="7" xfId="0" applyNumberFormat="1" applyFont="1" applyFill="1" applyBorder="1" applyAlignment="1">
      <alignment horizontal="right" vertical="center"/>
    </xf>
    <xf numFmtId="49" fontId="9" fillId="31" borderId="9" xfId="0" applyNumberFormat="1" applyFont="1" applyFill="1" applyBorder="1" applyAlignment="1">
      <alignment horizontal="right" vertical="center"/>
    </xf>
    <xf numFmtId="0" fontId="28" fillId="34" borderId="15" xfId="0" applyFont="1" applyFill="1" applyBorder="1" applyAlignment="1">
      <alignment horizontal="center" vertical="center"/>
    </xf>
    <xf numFmtId="0" fontId="28" fillId="34" borderId="17" xfId="0" applyFont="1" applyFill="1" applyBorder="1" applyAlignment="1">
      <alignment horizontal="center" vertical="center"/>
    </xf>
    <xf numFmtId="168" fontId="4" fillId="31" borderId="12" xfId="0" applyNumberFormat="1" applyFont="1" applyFill="1" applyBorder="1" applyAlignment="1" applyProtection="1">
      <alignment horizontal="center" vertical="center"/>
      <protection hidden="1"/>
    </xf>
    <xf numFmtId="0" fontId="4" fillId="31" borderId="15" xfId="0" applyFont="1" applyFill="1" applyBorder="1" applyAlignment="1">
      <alignment horizontal="left" vertical="center"/>
    </xf>
    <xf numFmtId="0" fontId="4" fillId="31" borderId="16" xfId="0" applyFont="1" applyFill="1" applyBorder="1" applyAlignment="1">
      <alignment horizontal="left" vertical="center"/>
    </xf>
    <xf numFmtId="0" fontId="4" fillId="31" borderId="34" xfId="0" applyFont="1" applyFill="1" applyBorder="1" applyAlignment="1">
      <alignment horizontal="left" vertical="center"/>
    </xf>
    <xf numFmtId="169" fontId="4" fillId="31" borderId="15" xfId="0" applyNumberFormat="1" applyFont="1" applyFill="1" applyBorder="1" applyAlignment="1" applyProtection="1">
      <alignment horizontal="center" vertical="center"/>
      <protection hidden="1"/>
    </xf>
    <xf numFmtId="169" fontId="4" fillId="31" borderId="34" xfId="0" applyNumberFormat="1" applyFont="1" applyFill="1" applyBorder="1" applyAlignment="1" applyProtection="1">
      <alignment horizontal="center" vertical="center"/>
      <protection hidden="1"/>
    </xf>
    <xf numFmtId="179" fontId="4" fillId="31" borderId="15" xfId="0" applyNumberFormat="1" applyFont="1" applyFill="1" applyBorder="1" applyAlignment="1" applyProtection="1">
      <alignment horizontal="center" vertical="center"/>
      <protection hidden="1"/>
    </xf>
    <xf numFmtId="179" fontId="4" fillId="31" borderId="34" xfId="0" applyNumberFormat="1" applyFont="1" applyFill="1" applyBorder="1" applyAlignment="1" applyProtection="1">
      <alignment horizontal="center" vertical="center"/>
      <protection hidden="1"/>
    </xf>
    <xf numFmtId="177" fontId="4" fillId="31" borderId="12" xfId="0" applyNumberFormat="1" applyFont="1" applyFill="1" applyBorder="1" applyAlignment="1" applyProtection="1">
      <alignment horizontal="center" vertical="center"/>
      <protection hidden="1"/>
    </xf>
    <xf numFmtId="169" fontId="4" fillId="32" borderId="12" xfId="0" applyNumberFormat="1" applyFont="1" applyFill="1" applyBorder="1" applyAlignment="1" applyProtection="1">
      <alignment horizontal="center" vertical="center"/>
      <protection hidden="1"/>
    </xf>
    <xf numFmtId="0" fontId="8" fillId="31" borderId="12" xfId="0" applyFont="1" applyFill="1" applyBorder="1" applyAlignment="1" applyProtection="1">
      <alignment horizontal="center" vertical="center"/>
      <protection hidden="1"/>
    </xf>
    <xf numFmtId="2" fontId="4" fillId="32" borderId="15" xfId="0" quotePrefix="1" applyNumberFormat="1" applyFont="1" applyFill="1" applyBorder="1" applyAlignment="1" applyProtection="1">
      <alignment horizontal="center" vertical="center"/>
      <protection hidden="1"/>
    </xf>
    <xf numFmtId="0" fontId="4" fillId="32" borderId="34" xfId="0" applyFont="1" applyFill="1" applyBorder="1" applyAlignment="1" applyProtection="1">
      <alignment horizontal="center" vertical="center"/>
      <protection hidden="1"/>
    </xf>
    <xf numFmtId="171" fontId="4" fillId="31" borderId="15" xfId="0" applyNumberFormat="1" applyFont="1" applyFill="1" applyBorder="1" applyAlignment="1" applyProtection="1">
      <alignment horizontal="center" vertical="center"/>
      <protection hidden="1"/>
    </xf>
    <xf numFmtId="171" fontId="4" fillId="31" borderId="34" xfId="0" applyNumberFormat="1" applyFont="1" applyFill="1" applyBorder="1" applyAlignment="1" applyProtection="1">
      <alignment horizontal="center" vertical="center"/>
      <protection hidden="1"/>
    </xf>
    <xf numFmtId="4" fontId="4" fillId="31" borderId="15" xfId="0" applyNumberFormat="1" applyFont="1" applyFill="1" applyBorder="1" applyAlignment="1" applyProtection="1">
      <alignment horizontal="center" vertical="center"/>
      <protection hidden="1"/>
    </xf>
    <xf numFmtId="4" fontId="4" fillId="31" borderId="34" xfId="0" applyNumberFormat="1" applyFont="1" applyFill="1" applyBorder="1" applyAlignment="1" applyProtection="1">
      <alignment horizontal="center" vertical="center"/>
      <protection hidden="1"/>
    </xf>
    <xf numFmtId="180" fontId="4" fillId="31" borderId="15" xfId="0" applyNumberFormat="1" applyFont="1" applyFill="1" applyBorder="1" applyAlignment="1" applyProtection="1">
      <alignment horizontal="center" vertical="center"/>
      <protection hidden="1"/>
    </xf>
    <xf numFmtId="180" fontId="4" fillId="31" borderId="16" xfId="0" applyNumberFormat="1" applyFont="1" applyFill="1" applyBorder="1" applyAlignment="1" applyProtection="1">
      <alignment horizontal="center" vertical="center"/>
      <protection hidden="1"/>
    </xf>
    <xf numFmtId="180" fontId="4" fillId="31" borderId="17" xfId="0" applyNumberFormat="1" applyFont="1" applyFill="1" applyBorder="1" applyAlignment="1" applyProtection="1">
      <alignment horizontal="center" vertical="center"/>
      <protection hidden="1"/>
    </xf>
    <xf numFmtId="174" fontId="4" fillId="31" borderId="13" xfId="0" applyNumberFormat="1" applyFont="1" applyFill="1" applyBorder="1" applyAlignment="1" applyProtection="1">
      <alignment horizontal="center" vertical="center"/>
      <protection hidden="1"/>
    </xf>
    <xf numFmtId="174" fontId="4" fillId="31" borderId="10" xfId="0" applyNumberFormat="1" applyFont="1" applyFill="1" applyBorder="1" applyAlignment="1" applyProtection="1">
      <alignment horizontal="center" vertical="center"/>
      <protection hidden="1"/>
    </xf>
    <xf numFmtId="174" fontId="4" fillId="31" borderId="14" xfId="0" applyNumberFormat="1" applyFont="1" applyFill="1" applyBorder="1" applyAlignment="1" applyProtection="1">
      <alignment horizontal="center" vertical="center"/>
      <protection hidden="1"/>
    </xf>
    <xf numFmtId="169" fontId="4" fillId="31" borderId="12" xfId="0" quotePrefix="1" applyNumberFormat="1" applyFont="1" applyFill="1" applyBorder="1" applyAlignment="1" applyProtection="1">
      <alignment horizontal="center" vertical="center"/>
      <protection hidden="1"/>
    </xf>
    <xf numFmtId="173" fontId="4" fillId="31" borderId="12" xfId="0" quotePrefix="1" applyNumberFormat="1" applyFont="1" applyFill="1" applyBorder="1" applyAlignment="1" applyProtection="1">
      <alignment horizontal="center" vertical="center"/>
      <protection hidden="1"/>
    </xf>
    <xf numFmtId="173" fontId="4" fillId="31" borderId="12" xfId="0" applyNumberFormat="1" applyFont="1" applyFill="1" applyBorder="1" applyAlignment="1" applyProtection="1">
      <alignment horizontal="center" vertical="center"/>
      <protection hidden="1"/>
    </xf>
    <xf numFmtId="2" fontId="4" fillId="31" borderId="15" xfId="0" applyNumberFormat="1" applyFont="1" applyFill="1" applyBorder="1" applyAlignment="1" applyProtection="1">
      <alignment horizontal="center" vertical="center"/>
      <protection hidden="1"/>
    </xf>
    <xf numFmtId="2" fontId="4" fillId="31" borderId="34" xfId="0" applyNumberFormat="1" applyFont="1" applyFill="1" applyBorder="1" applyAlignment="1" applyProtection="1">
      <alignment horizontal="center" vertical="center"/>
      <protection hidden="1"/>
    </xf>
    <xf numFmtId="169" fontId="4" fillId="32" borderId="15" xfId="0" applyNumberFormat="1" applyFont="1" applyFill="1" applyBorder="1" applyAlignment="1" applyProtection="1">
      <alignment horizontal="center" vertical="center"/>
      <protection hidden="1"/>
    </xf>
    <xf numFmtId="169" fontId="4" fillId="32" borderId="17" xfId="0" applyNumberFormat="1" applyFont="1" applyFill="1" applyBorder="1" applyAlignment="1" applyProtection="1">
      <alignment horizontal="center" vertical="center"/>
      <protection hidden="1"/>
    </xf>
    <xf numFmtId="0" fontId="2" fillId="0" borderId="15" xfId="0" applyFont="1" applyBorder="1" applyAlignment="1">
      <alignment horizontal="left" vertical="center" shrinkToFit="1"/>
    </xf>
    <xf numFmtId="0" fontId="2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 shrinkToFit="1"/>
    </xf>
    <xf numFmtId="0" fontId="28" fillId="34" borderId="1" xfId="0" applyFont="1" applyFill="1" applyBorder="1" applyAlignment="1">
      <alignment horizontal="center" vertical="center"/>
    </xf>
    <xf numFmtId="0" fontId="28" fillId="34" borderId="0" xfId="0" applyFont="1" applyFill="1" applyAlignment="1">
      <alignment horizontal="center" vertical="center"/>
    </xf>
    <xf numFmtId="0" fontId="28" fillId="34" borderId="4" xfId="0" applyFont="1" applyFill="1" applyBorder="1" applyAlignment="1">
      <alignment horizontal="center" vertical="center"/>
    </xf>
    <xf numFmtId="174" fontId="4" fillId="31" borderId="55" xfId="0" applyNumberFormat="1" applyFont="1" applyFill="1" applyBorder="1" applyAlignment="1" applyProtection="1">
      <alignment horizontal="center" vertical="center"/>
      <protection hidden="1"/>
    </xf>
    <xf numFmtId="174" fontId="4" fillId="31" borderId="0" xfId="0" applyNumberFormat="1" applyFont="1" applyFill="1" applyAlignment="1" applyProtection="1">
      <alignment horizontal="center" vertical="center"/>
      <protection hidden="1"/>
    </xf>
    <xf numFmtId="174" fontId="4" fillId="31" borderId="54" xfId="0" applyNumberFormat="1" applyFont="1" applyFill="1" applyBorder="1" applyAlignment="1" applyProtection="1">
      <alignment horizontal="center" vertical="center"/>
      <protection hidden="1"/>
    </xf>
    <xf numFmtId="0" fontId="2" fillId="31" borderId="15" xfId="0" applyFont="1" applyFill="1" applyBorder="1" applyAlignment="1">
      <alignment horizontal="left" vertical="center" shrinkToFit="1"/>
    </xf>
    <xf numFmtId="0" fontId="2" fillId="31" borderId="16" xfId="0" applyFont="1" applyFill="1" applyBorder="1" applyAlignment="1">
      <alignment horizontal="left" vertical="center" shrinkToFit="1"/>
    </xf>
    <xf numFmtId="0" fontId="2" fillId="31" borderId="17" xfId="0" applyFont="1" applyFill="1" applyBorder="1" applyAlignment="1">
      <alignment horizontal="left" vertical="center" shrinkToFit="1"/>
    </xf>
    <xf numFmtId="0" fontId="31" fillId="34" borderId="15" xfId="0" applyFont="1" applyFill="1" applyBorder="1" applyAlignment="1">
      <alignment horizontal="center" vertical="center"/>
    </xf>
    <xf numFmtId="0" fontId="31" fillId="34" borderId="17" xfId="0" applyFont="1" applyFill="1" applyBorder="1" applyAlignment="1">
      <alignment horizontal="center" vertical="center"/>
    </xf>
    <xf numFmtId="174" fontId="4" fillId="31" borderId="51" xfId="0" applyNumberFormat="1" applyFont="1" applyFill="1" applyBorder="1" applyAlignment="1" applyProtection="1">
      <alignment horizontal="center" vertical="center"/>
      <protection hidden="1"/>
    </xf>
    <xf numFmtId="174" fontId="4" fillId="31" borderId="52" xfId="0" applyNumberFormat="1" applyFont="1" applyFill="1" applyBorder="1" applyAlignment="1" applyProtection="1">
      <alignment horizontal="center" vertical="center"/>
      <protection hidden="1"/>
    </xf>
    <xf numFmtId="174" fontId="4" fillId="31" borderId="26" xfId="0" applyNumberFormat="1" applyFont="1" applyFill="1" applyBorder="1" applyAlignment="1" applyProtection="1">
      <alignment horizontal="center" vertical="center"/>
      <protection hidden="1"/>
    </xf>
    <xf numFmtId="0" fontId="31" fillId="34" borderId="9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169" fontId="4" fillId="31" borderId="19" xfId="0" applyNumberFormat="1" applyFont="1" applyFill="1" applyBorder="1" applyAlignment="1" applyProtection="1">
      <alignment horizontal="center" vertical="center"/>
      <protection hidden="1"/>
    </xf>
    <xf numFmtId="0" fontId="4" fillId="31" borderId="19" xfId="0" applyFont="1" applyFill="1" applyBorder="1" applyAlignment="1" applyProtection="1">
      <alignment horizontal="center" vertical="center"/>
      <protection hidden="1"/>
    </xf>
    <xf numFmtId="0" fontId="27" fillId="33" borderId="35" xfId="0" applyFont="1" applyFill="1" applyBorder="1" applyAlignment="1">
      <alignment horizontal="left" vertical="center" wrapText="1"/>
    </xf>
    <xf numFmtId="0" fontId="27" fillId="33" borderId="36" xfId="0" applyFont="1" applyFill="1" applyBorder="1" applyAlignment="1">
      <alignment horizontal="left" vertical="center" wrapText="1"/>
    </xf>
    <xf numFmtId="0" fontId="27" fillId="33" borderId="37" xfId="0" applyFont="1" applyFill="1" applyBorder="1" applyAlignment="1">
      <alignment horizontal="left" vertical="center" wrapText="1"/>
    </xf>
    <xf numFmtId="0" fontId="26" fillId="33" borderId="38" xfId="0" applyFont="1" applyFill="1" applyBorder="1" applyAlignment="1">
      <alignment horizontal="center" vertical="center" wrapText="1"/>
    </xf>
    <xf numFmtId="0" fontId="26" fillId="33" borderId="36" xfId="0" applyFont="1" applyFill="1" applyBorder="1" applyAlignment="1">
      <alignment horizontal="center" vertical="center" wrapText="1"/>
    </xf>
    <xf numFmtId="0" fontId="26" fillId="33" borderId="39" xfId="0" applyFont="1" applyFill="1" applyBorder="1" applyAlignment="1">
      <alignment horizontal="center" vertical="center" wrapText="1"/>
    </xf>
    <xf numFmtId="0" fontId="27" fillId="33" borderId="40" xfId="0" applyFont="1" applyFill="1" applyBorder="1" applyAlignment="1">
      <alignment horizontal="left" vertical="center" wrapText="1"/>
    </xf>
    <xf numFmtId="0" fontId="27" fillId="33" borderId="41" xfId="0" applyFont="1" applyFill="1" applyBorder="1" applyAlignment="1">
      <alignment horizontal="left" vertical="center" wrapText="1"/>
    </xf>
    <xf numFmtId="0" fontId="27" fillId="33" borderId="42" xfId="0" applyFont="1" applyFill="1" applyBorder="1" applyAlignment="1">
      <alignment horizontal="left" vertical="center" wrapText="1"/>
    </xf>
    <xf numFmtId="0" fontId="26" fillId="33" borderId="43" xfId="0" applyFont="1" applyFill="1" applyBorder="1" applyAlignment="1">
      <alignment horizontal="center" vertical="center" wrapText="1"/>
    </xf>
    <xf numFmtId="0" fontId="26" fillId="33" borderId="41" xfId="0" applyFont="1" applyFill="1" applyBorder="1" applyAlignment="1">
      <alignment horizontal="center" vertical="center" wrapText="1"/>
    </xf>
    <xf numFmtId="0" fontId="26" fillId="33" borderId="44" xfId="0" applyFont="1" applyFill="1" applyBorder="1" applyAlignment="1">
      <alignment horizontal="center" vertical="center" wrapText="1"/>
    </xf>
    <xf numFmtId="0" fontId="27" fillId="33" borderId="45" xfId="0" applyFont="1" applyFill="1" applyBorder="1" applyAlignment="1">
      <alignment horizontal="left" vertical="center" wrapText="1"/>
    </xf>
    <xf numFmtId="0" fontId="27" fillId="33" borderId="46" xfId="0" applyFont="1" applyFill="1" applyBorder="1" applyAlignment="1">
      <alignment horizontal="left" vertical="center" wrapText="1"/>
    </xf>
    <xf numFmtId="0" fontId="27" fillId="33" borderId="47" xfId="0" applyFont="1" applyFill="1" applyBorder="1" applyAlignment="1">
      <alignment horizontal="left" vertical="center" wrapText="1"/>
    </xf>
    <xf numFmtId="0" fontId="26" fillId="33" borderId="48" xfId="0" applyFont="1" applyFill="1" applyBorder="1" applyAlignment="1">
      <alignment horizontal="center" vertical="center" wrapText="1"/>
    </xf>
    <xf numFmtId="0" fontId="26" fillId="33" borderId="46" xfId="0" applyFont="1" applyFill="1" applyBorder="1" applyAlignment="1">
      <alignment horizontal="center" vertical="center" wrapText="1"/>
    </xf>
    <xf numFmtId="0" fontId="26" fillId="33" borderId="49" xfId="0" applyFont="1" applyFill="1" applyBorder="1" applyAlignment="1">
      <alignment horizontal="center" vertical="center" wrapText="1"/>
    </xf>
    <xf numFmtId="0" fontId="27" fillId="32" borderId="51" xfId="0" applyFont="1" applyFill="1" applyBorder="1" applyAlignment="1">
      <alignment horizontal="left" vertical="center"/>
    </xf>
    <xf numFmtId="0" fontId="27" fillId="32" borderId="52" xfId="0" applyFont="1" applyFill="1" applyBorder="1" applyAlignment="1">
      <alignment horizontal="left" vertical="center"/>
    </xf>
    <xf numFmtId="0" fontId="27" fillId="32" borderId="26" xfId="0" applyFont="1" applyFill="1" applyBorder="1" applyAlignment="1">
      <alignment horizontal="left" vertical="center"/>
    </xf>
    <xf numFmtId="1" fontId="4" fillId="32" borderId="13" xfId="0" applyNumberFormat="1" applyFont="1" applyFill="1" applyBorder="1" applyAlignment="1">
      <alignment horizontal="center" vertical="center" shrinkToFit="1"/>
    </xf>
    <xf numFmtId="1" fontId="4" fillId="32" borderId="14" xfId="0" applyNumberFormat="1" applyFont="1" applyFill="1" applyBorder="1" applyAlignment="1">
      <alignment horizontal="center" vertical="center" shrinkToFit="1"/>
    </xf>
    <xf numFmtId="0" fontId="31" fillId="34" borderId="0" xfId="0" applyFont="1" applyFill="1" applyAlignment="1">
      <alignment horizontal="center" vertical="center"/>
    </xf>
    <xf numFmtId="0" fontId="27" fillId="31" borderId="22" xfId="0" quotePrefix="1" applyFont="1" applyFill="1" applyBorder="1" applyAlignment="1">
      <alignment horizontal="left" vertical="center"/>
    </xf>
    <xf numFmtId="0" fontId="27" fillId="31" borderId="16" xfId="0" quotePrefix="1" applyFont="1" applyFill="1" applyBorder="1" applyAlignment="1">
      <alignment horizontal="left" vertical="center"/>
    </xf>
    <xf numFmtId="0" fontId="27" fillId="31" borderId="17" xfId="0" quotePrefix="1" applyFont="1" applyFill="1" applyBorder="1" applyAlignment="1">
      <alignment horizontal="left" vertical="center"/>
    </xf>
    <xf numFmtId="173" fontId="4" fillId="31" borderId="15" xfId="0" applyNumberFormat="1" applyFont="1" applyFill="1" applyBorder="1" applyAlignment="1" applyProtection="1">
      <alignment horizontal="center" vertical="center"/>
      <protection hidden="1"/>
    </xf>
    <xf numFmtId="173" fontId="4" fillId="31" borderId="16" xfId="0" applyNumberFormat="1" applyFont="1" applyFill="1" applyBorder="1" applyAlignment="1" applyProtection="1">
      <alignment horizontal="center" vertical="center"/>
      <protection hidden="1"/>
    </xf>
    <xf numFmtId="173" fontId="4" fillId="31" borderId="17" xfId="0" applyNumberFormat="1" applyFont="1" applyFill="1" applyBorder="1" applyAlignment="1" applyProtection="1">
      <alignment horizontal="center" vertical="center"/>
      <protection hidden="1"/>
    </xf>
    <xf numFmtId="172" fontId="4" fillId="31" borderId="15" xfId="0" applyNumberFormat="1" applyFont="1" applyFill="1" applyBorder="1" applyAlignment="1" applyProtection="1">
      <alignment horizontal="center" vertical="center"/>
      <protection hidden="1"/>
    </xf>
    <xf numFmtId="172" fontId="4" fillId="31" borderId="16" xfId="0" applyNumberFormat="1" applyFont="1" applyFill="1" applyBorder="1" applyAlignment="1" applyProtection="1">
      <alignment horizontal="center" vertical="center"/>
      <protection hidden="1"/>
    </xf>
    <xf numFmtId="172" fontId="4" fillId="31" borderId="17" xfId="0" applyNumberFormat="1" applyFont="1" applyFill="1" applyBorder="1" applyAlignment="1" applyProtection="1">
      <alignment horizontal="center" vertical="center"/>
      <protection hidden="1"/>
    </xf>
    <xf numFmtId="49" fontId="9" fillId="31" borderId="7" xfId="0" applyNumberFormat="1" applyFont="1" applyFill="1" applyBorder="1" applyAlignment="1">
      <alignment horizontal="left" vertical="center"/>
    </xf>
    <xf numFmtId="49" fontId="9" fillId="31" borderId="50" xfId="0" applyNumberFormat="1" applyFont="1" applyFill="1" applyBorder="1" applyAlignment="1">
      <alignment horizontal="left" vertical="center"/>
    </xf>
    <xf numFmtId="49" fontId="9" fillId="31" borderId="9" xfId="0" applyNumberFormat="1" applyFont="1" applyFill="1" applyBorder="1" applyAlignment="1">
      <alignment horizontal="left" vertical="center"/>
    </xf>
    <xf numFmtId="49" fontId="9" fillId="31" borderId="58" xfId="0" applyNumberFormat="1" applyFont="1" applyFill="1" applyBorder="1" applyAlignment="1">
      <alignment horizontal="left" vertical="center"/>
    </xf>
    <xf numFmtId="0" fontId="28" fillId="34" borderId="16" xfId="0" applyFont="1" applyFill="1" applyBorder="1" applyAlignment="1" applyProtection="1">
      <alignment horizontal="center" vertical="center"/>
      <protection hidden="1"/>
    </xf>
  </cellXfs>
  <cellStyles count="47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ormal" xfId="0" builtinId="0"/>
    <cellStyle name="Normal 2" xfId="30" xr:uid="{7B116E71-F655-4163-92AE-DDA5714EF818}"/>
    <cellStyle name="Normal 2 2" xfId="31" xr:uid="{891354A1-9588-40CB-A887-522F92FBF367}"/>
    <cellStyle name="Normal 3" xfId="32" xr:uid="{1CEE54A2-4BB0-4E89-98F5-C007D19E017E}"/>
    <cellStyle name="Normal 4" xfId="33" xr:uid="{D45CB92F-15EA-42FB-91C1-285927D0B7E6}"/>
    <cellStyle name="Normal 4 2" xfId="34" xr:uid="{48E1D8E6-CE96-40EE-B703-605745181BF5}"/>
    <cellStyle name="Nota 2" xfId="35" xr:uid="{378DE15A-9100-4769-8A7B-F9199C1C1958}"/>
    <cellStyle name="Saída" xfId="36" builtinId="21" customBuiltin="1"/>
    <cellStyle name="Separador de milhares 2" xfId="37" xr:uid="{DB3381FF-F344-4CF4-AEDF-B96F0A282170}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  <cellStyle name="Vírgula 2" xfId="46" xr:uid="{7EA961DD-6B13-478B-9B3D-7AC07AB76F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54217</xdr:colOff>
      <xdr:row>35</xdr:row>
      <xdr:rowOff>75731</xdr:rowOff>
    </xdr:from>
    <xdr:to>
      <xdr:col>17</xdr:col>
      <xdr:colOff>123349</xdr:colOff>
      <xdr:row>57</xdr:row>
      <xdr:rowOff>29308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D90BD5D-2A1D-B7AD-D58E-987630B08E82}"/>
            </a:ext>
          </a:extLst>
        </xdr:cNvPr>
        <xdr:cNvSpPr/>
      </xdr:nvSpPr>
      <xdr:spPr>
        <a:xfrm>
          <a:off x="6731242" y="5876456"/>
          <a:ext cx="469182" cy="3306377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16</xdr:col>
      <xdr:colOff>51287</xdr:colOff>
      <xdr:row>25</xdr:row>
      <xdr:rowOff>40563</xdr:rowOff>
    </xdr:from>
    <xdr:to>
      <xdr:col>17</xdr:col>
      <xdr:colOff>131884</xdr:colOff>
      <xdr:row>35</xdr:row>
      <xdr:rowOff>76200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A3E031E-67A6-886E-E4DA-831777947B0C}"/>
            </a:ext>
          </a:extLst>
        </xdr:cNvPr>
        <xdr:cNvSpPr/>
      </xdr:nvSpPr>
      <xdr:spPr>
        <a:xfrm>
          <a:off x="6728312" y="4317288"/>
          <a:ext cx="480647" cy="1559637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15</xdr:col>
      <xdr:colOff>234950</xdr:colOff>
      <xdr:row>49</xdr:row>
      <xdr:rowOff>38100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E0F7B57-F4AD-75AB-59C5-0609FFEF3832}"/>
            </a:ext>
          </a:extLst>
        </xdr:cNvPr>
        <xdr:cNvSpPr txBox="1"/>
      </xdr:nvSpPr>
      <xdr:spPr>
        <a:xfrm>
          <a:off x="6502400" y="7972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twoCellAnchor editAs="oneCell">
    <xdr:from>
      <xdr:col>6</xdr:col>
      <xdr:colOff>228600</xdr:colOff>
      <xdr:row>58</xdr:row>
      <xdr:rowOff>114300</xdr:rowOff>
    </xdr:from>
    <xdr:to>
      <xdr:col>14</xdr:col>
      <xdr:colOff>295275</xdr:colOff>
      <xdr:row>67</xdr:row>
      <xdr:rowOff>133350</xdr:rowOff>
    </xdr:to>
    <xdr:pic>
      <xdr:nvPicPr>
        <xdr:cNvPr id="3180239" name="Imagem 2">
          <a:extLst>
            <a:ext uri="{FF2B5EF4-FFF2-40B4-BE49-F238E27FC236}">
              <a16:creationId xmlns:a16="http://schemas.microsoft.com/office/drawing/2014/main" id="{ECCE8BBB-DB89-6459-259A-A5F8FED5E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9458325"/>
          <a:ext cx="347662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352425</xdr:colOff>
      <xdr:row>60</xdr:row>
      <xdr:rowOff>180975</xdr:rowOff>
    </xdr:from>
    <xdr:to>
      <xdr:col>6</xdr:col>
      <xdr:colOff>190500</xdr:colOff>
      <xdr:row>67</xdr:row>
      <xdr:rowOff>19050</xdr:rowOff>
    </xdr:to>
    <xdr:pic>
      <xdr:nvPicPr>
        <xdr:cNvPr id="3180240" name="Imagem 4">
          <a:extLst>
            <a:ext uri="{FF2B5EF4-FFF2-40B4-BE49-F238E27FC236}">
              <a16:creationId xmlns:a16="http://schemas.microsoft.com/office/drawing/2014/main" id="{778FFA98-AB1A-5F00-C109-F1A7732D3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9915525"/>
          <a:ext cx="17716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152400</xdr:colOff>
      <xdr:row>48</xdr:row>
      <xdr:rowOff>66675</xdr:rowOff>
    </xdr:from>
    <xdr:to>
      <xdr:col>17</xdr:col>
      <xdr:colOff>285750</xdr:colOff>
      <xdr:row>48</xdr:row>
      <xdr:rowOff>66675</xdr:rowOff>
    </xdr:to>
    <xdr:sp macro="" textlink="">
      <xdr:nvSpPr>
        <xdr:cNvPr id="3180241" name="Line 163">
          <a:extLst>
            <a:ext uri="{FF2B5EF4-FFF2-40B4-BE49-F238E27FC236}">
              <a16:creationId xmlns:a16="http://schemas.microsoft.com/office/drawing/2014/main" id="{6C837496-DBC0-2A0E-7DD1-BA889282ACB1}"/>
            </a:ext>
          </a:extLst>
        </xdr:cNvPr>
        <xdr:cNvSpPr>
          <a:spLocks noChangeShapeType="1"/>
        </xdr:cNvSpPr>
      </xdr:nvSpPr>
      <xdr:spPr bwMode="auto">
        <a:xfrm>
          <a:off x="7229475" y="7848600"/>
          <a:ext cx="1333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352425</xdr:colOff>
      <xdr:row>25</xdr:row>
      <xdr:rowOff>47625</xdr:rowOff>
    </xdr:from>
    <xdr:to>
      <xdr:col>15</xdr:col>
      <xdr:colOff>352425</xdr:colOff>
      <xdr:row>35</xdr:row>
      <xdr:rowOff>85725</xdr:rowOff>
    </xdr:to>
    <xdr:sp macro="" textlink="">
      <xdr:nvSpPr>
        <xdr:cNvPr id="3180242" name="Line 161">
          <a:extLst>
            <a:ext uri="{FF2B5EF4-FFF2-40B4-BE49-F238E27FC236}">
              <a16:creationId xmlns:a16="http://schemas.microsoft.com/office/drawing/2014/main" id="{1D5441B6-F281-A93B-3511-50FD3FD93FD7}"/>
            </a:ext>
          </a:extLst>
        </xdr:cNvPr>
        <xdr:cNvSpPr>
          <a:spLocks noChangeShapeType="1"/>
        </xdr:cNvSpPr>
      </xdr:nvSpPr>
      <xdr:spPr bwMode="auto">
        <a:xfrm flipV="1">
          <a:off x="6619875" y="4324350"/>
          <a:ext cx="0" cy="156210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285750</xdr:colOff>
      <xdr:row>35</xdr:row>
      <xdr:rowOff>95250</xdr:rowOff>
    </xdr:from>
    <xdr:to>
      <xdr:col>16</xdr:col>
      <xdr:colOff>9525</xdr:colOff>
      <xdr:row>35</xdr:row>
      <xdr:rowOff>95250</xdr:rowOff>
    </xdr:to>
    <xdr:sp macro="" textlink="">
      <xdr:nvSpPr>
        <xdr:cNvPr id="3180243" name="Line 165">
          <a:extLst>
            <a:ext uri="{FF2B5EF4-FFF2-40B4-BE49-F238E27FC236}">
              <a16:creationId xmlns:a16="http://schemas.microsoft.com/office/drawing/2014/main" id="{20A1C3E0-3B7F-7F5E-D5D0-B22896298DBD}"/>
            </a:ext>
          </a:extLst>
        </xdr:cNvPr>
        <xdr:cNvSpPr>
          <a:spLocks noChangeShapeType="1"/>
        </xdr:cNvSpPr>
      </xdr:nvSpPr>
      <xdr:spPr bwMode="auto">
        <a:xfrm>
          <a:off x="6553200" y="5895975"/>
          <a:ext cx="1333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152400</xdr:colOff>
      <xdr:row>57</xdr:row>
      <xdr:rowOff>28575</xdr:rowOff>
    </xdr:from>
    <xdr:to>
      <xdr:col>17</xdr:col>
      <xdr:colOff>285750</xdr:colOff>
      <xdr:row>57</xdr:row>
      <xdr:rowOff>28575</xdr:rowOff>
    </xdr:to>
    <xdr:sp macro="" textlink="">
      <xdr:nvSpPr>
        <xdr:cNvPr id="3180244" name="Line 163">
          <a:extLst>
            <a:ext uri="{FF2B5EF4-FFF2-40B4-BE49-F238E27FC236}">
              <a16:creationId xmlns:a16="http://schemas.microsoft.com/office/drawing/2014/main" id="{B6A91FE8-DDCD-268F-B66C-45936ABE178F}"/>
            </a:ext>
          </a:extLst>
        </xdr:cNvPr>
        <xdr:cNvSpPr>
          <a:spLocks noChangeShapeType="1"/>
        </xdr:cNvSpPr>
      </xdr:nvSpPr>
      <xdr:spPr bwMode="auto">
        <a:xfrm>
          <a:off x="7229475" y="9182100"/>
          <a:ext cx="1333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209550</xdr:colOff>
      <xdr:row>25</xdr:row>
      <xdr:rowOff>47625</xdr:rowOff>
    </xdr:from>
    <xdr:to>
      <xdr:col>17</xdr:col>
      <xdr:colOff>238125</xdr:colOff>
      <xdr:row>57</xdr:row>
      <xdr:rowOff>28575</xdr:rowOff>
    </xdr:to>
    <xdr:sp macro="" textlink="">
      <xdr:nvSpPr>
        <xdr:cNvPr id="3180245" name="Line 161">
          <a:extLst>
            <a:ext uri="{FF2B5EF4-FFF2-40B4-BE49-F238E27FC236}">
              <a16:creationId xmlns:a16="http://schemas.microsoft.com/office/drawing/2014/main" id="{44A2A82F-FC01-D59A-A3C6-C51F8A5693C9}"/>
            </a:ext>
          </a:extLst>
        </xdr:cNvPr>
        <xdr:cNvSpPr>
          <a:spLocks noChangeShapeType="1"/>
        </xdr:cNvSpPr>
      </xdr:nvSpPr>
      <xdr:spPr bwMode="auto">
        <a:xfrm flipV="1">
          <a:off x="7286625" y="4324350"/>
          <a:ext cx="28575" cy="485775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224494</xdr:colOff>
      <xdr:row>23</xdr:row>
      <xdr:rowOff>152400</xdr:rowOff>
    </xdr:from>
    <xdr:to>
      <xdr:col>16</xdr:col>
      <xdr:colOff>224494</xdr:colOff>
      <xdr:row>57</xdr:row>
      <xdr:rowOff>41417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A30E574B-0A7F-6FE7-7652-EC7D54C37E6A}"/>
            </a:ext>
          </a:extLst>
        </xdr:cNvPr>
        <xdr:cNvCxnSpPr>
          <a:cxnSpLocks/>
        </xdr:cNvCxnSpPr>
      </xdr:nvCxnSpPr>
      <xdr:spPr>
        <a:xfrm>
          <a:off x="6901519" y="4124325"/>
          <a:ext cx="0" cy="5070617"/>
        </a:xfrm>
        <a:prstGeom prst="line">
          <a:avLst/>
        </a:prstGeom>
        <a:ln w="19050">
          <a:solidFill>
            <a:srgbClr val="F35A1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350224</xdr:colOff>
      <xdr:row>23</xdr:row>
      <xdr:rowOff>152400</xdr:rowOff>
    </xdr:from>
    <xdr:to>
      <xdr:col>16</xdr:col>
      <xdr:colOff>350224</xdr:colOff>
      <xdr:row>57</xdr:row>
      <xdr:rowOff>41417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D01A2839-1BB3-5E0D-60CB-F00690FFC494}"/>
            </a:ext>
          </a:extLst>
        </xdr:cNvPr>
        <xdr:cNvCxnSpPr>
          <a:cxnSpLocks/>
        </xdr:cNvCxnSpPr>
      </xdr:nvCxnSpPr>
      <xdr:spPr>
        <a:xfrm>
          <a:off x="7027249" y="4124325"/>
          <a:ext cx="0" cy="5070617"/>
        </a:xfrm>
        <a:prstGeom prst="line">
          <a:avLst/>
        </a:prstGeom>
        <a:ln w="19050">
          <a:solidFill>
            <a:srgbClr val="F35A1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228436</xdr:colOff>
      <xdr:row>35</xdr:row>
      <xdr:rowOff>63514</xdr:rowOff>
    </xdr:from>
    <xdr:to>
      <xdr:col>16</xdr:col>
      <xdr:colOff>347154</xdr:colOff>
      <xdr:row>38</xdr:row>
      <xdr:rowOff>7276</xdr:rowOff>
    </xdr:to>
    <xdr:sp macro="" textlink="">
      <xdr:nvSpPr>
        <xdr:cNvPr id="14" name="AutoShape 461" title="900g">
          <a:extLst>
            <a:ext uri="{FF2B5EF4-FFF2-40B4-BE49-F238E27FC236}">
              <a16:creationId xmlns:a16="http://schemas.microsoft.com/office/drawing/2014/main" id="{7A66165F-8048-448F-5A46-2855B48E68E5}"/>
            </a:ext>
          </a:extLst>
        </xdr:cNvPr>
        <xdr:cNvSpPr>
          <a:spLocks noChangeArrowheads="1"/>
        </xdr:cNvSpPr>
      </xdr:nvSpPr>
      <xdr:spPr bwMode="auto">
        <a:xfrm>
          <a:off x="6905461" y="5864239"/>
          <a:ext cx="118718" cy="400962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16</xdr:col>
      <xdr:colOff>232535</xdr:colOff>
      <xdr:row>38</xdr:row>
      <xdr:rowOff>15141</xdr:rowOff>
    </xdr:from>
    <xdr:to>
      <xdr:col>16</xdr:col>
      <xdr:colOff>351253</xdr:colOff>
      <xdr:row>40</xdr:row>
      <xdr:rowOff>107990</xdr:rowOff>
    </xdr:to>
    <xdr:sp macro="" textlink="">
      <xdr:nvSpPr>
        <xdr:cNvPr id="15" name="AutoShape 461" title="900g">
          <a:extLst>
            <a:ext uri="{FF2B5EF4-FFF2-40B4-BE49-F238E27FC236}">
              <a16:creationId xmlns:a16="http://schemas.microsoft.com/office/drawing/2014/main" id="{1BFE40BA-8641-204B-A556-BA9D4A47B5F4}"/>
            </a:ext>
          </a:extLst>
        </xdr:cNvPr>
        <xdr:cNvSpPr>
          <a:spLocks noChangeArrowheads="1"/>
        </xdr:cNvSpPr>
      </xdr:nvSpPr>
      <xdr:spPr bwMode="auto">
        <a:xfrm>
          <a:off x="6909560" y="6273066"/>
          <a:ext cx="118718" cy="397649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16</xdr:col>
      <xdr:colOff>232535</xdr:colOff>
      <xdr:row>40</xdr:row>
      <xdr:rowOff>107492</xdr:rowOff>
    </xdr:from>
    <xdr:to>
      <xdr:col>16</xdr:col>
      <xdr:colOff>351253</xdr:colOff>
      <xdr:row>43</xdr:row>
      <xdr:rowOff>51254</xdr:rowOff>
    </xdr:to>
    <xdr:sp macro="" textlink="">
      <xdr:nvSpPr>
        <xdr:cNvPr id="16" name="AutoShape 461" title="900g">
          <a:extLst>
            <a:ext uri="{FF2B5EF4-FFF2-40B4-BE49-F238E27FC236}">
              <a16:creationId xmlns:a16="http://schemas.microsoft.com/office/drawing/2014/main" id="{D1299F09-6955-A120-86DD-93A20BC84A8D}"/>
            </a:ext>
          </a:extLst>
        </xdr:cNvPr>
        <xdr:cNvSpPr>
          <a:spLocks noChangeArrowheads="1"/>
        </xdr:cNvSpPr>
      </xdr:nvSpPr>
      <xdr:spPr bwMode="auto">
        <a:xfrm>
          <a:off x="6909560" y="6670217"/>
          <a:ext cx="118718" cy="400962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16</xdr:col>
      <xdr:colOff>228912</xdr:colOff>
      <xdr:row>43</xdr:row>
      <xdr:rowOff>55518</xdr:rowOff>
    </xdr:from>
    <xdr:to>
      <xdr:col>16</xdr:col>
      <xdr:colOff>347630</xdr:colOff>
      <xdr:row>45</xdr:row>
      <xdr:rowOff>148367</xdr:rowOff>
    </xdr:to>
    <xdr:sp macro="" textlink="">
      <xdr:nvSpPr>
        <xdr:cNvPr id="17" name="AutoShape 461" title="900g">
          <a:extLst>
            <a:ext uri="{FF2B5EF4-FFF2-40B4-BE49-F238E27FC236}">
              <a16:creationId xmlns:a16="http://schemas.microsoft.com/office/drawing/2014/main" id="{01ACE527-F103-D225-B7EA-91D42F75277F}"/>
            </a:ext>
          </a:extLst>
        </xdr:cNvPr>
        <xdr:cNvSpPr>
          <a:spLocks noChangeArrowheads="1"/>
        </xdr:cNvSpPr>
      </xdr:nvSpPr>
      <xdr:spPr bwMode="auto">
        <a:xfrm>
          <a:off x="6905937" y="7075443"/>
          <a:ext cx="118718" cy="397649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16</xdr:col>
      <xdr:colOff>228913</xdr:colOff>
      <xdr:row>46</xdr:row>
      <xdr:rowOff>10688</xdr:rowOff>
    </xdr:from>
    <xdr:to>
      <xdr:col>16</xdr:col>
      <xdr:colOff>347631</xdr:colOff>
      <xdr:row>48</xdr:row>
      <xdr:rowOff>103537</xdr:rowOff>
    </xdr:to>
    <xdr:sp macro="" textlink="">
      <xdr:nvSpPr>
        <xdr:cNvPr id="18" name="AutoShape 461" title="900g">
          <a:extLst>
            <a:ext uri="{FF2B5EF4-FFF2-40B4-BE49-F238E27FC236}">
              <a16:creationId xmlns:a16="http://schemas.microsoft.com/office/drawing/2014/main" id="{8B348DEF-2957-5884-4B88-FB3439E28712}"/>
            </a:ext>
          </a:extLst>
        </xdr:cNvPr>
        <xdr:cNvSpPr>
          <a:spLocks noChangeArrowheads="1"/>
        </xdr:cNvSpPr>
      </xdr:nvSpPr>
      <xdr:spPr bwMode="auto">
        <a:xfrm>
          <a:off x="6905938" y="7487813"/>
          <a:ext cx="118718" cy="397649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16</xdr:col>
      <xdr:colOff>228913</xdr:colOff>
      <xdr:row>48</xdr:row>
      <xdr:rowOff>110183</xdr:rowOff>
    </xdr:from>
    <xdr:to>
      <xdr:col>16</xdr:col>
      <xdr:colOff>347631</xdr:colOff>
      <xdr:row>51</xdr:row>
      <xdr:rowOff>53946</xdr:rowOff>
    </xdr:to>
    <xdr:sp macro="" textlink="">
      <xdr:nvSpPr>
        <xdr:cNvPr id="19" name="AutoShape 461" title="900g">
          <a:extLst>
            <a:ext uri="{FF2B5EF4-FFF2-40B4-BE49-F238E27FC236}">
              <a16:creationId xmlns:a16="http://schemas.microsoft.com/office/drawing/2014/main" id="{B6A23077-5BB6-D401-C045-B31B66015469}"/>
            </a:ext>
          </a:extLst>
        </xdr:cNvPr>
        <xdr:cNvSpPr>
          <a:spLocks noChangeArrowheads="1"/>
        </xdr:cNvSpPr>
      </xdr:nvSpPr>
      <xdr:spPr bwMode="auto">
        <a:xfrm>
          <a:off x="6905938" y="7892108"/>
          <a:ext cx="118718" cy="400963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16</xdr:col>
      <xdr:colOff>228913</xdr:colOff>
      <xdr:row>51</xdr:row>
      <xdr:rowOff>67737</xdr:rowOff>
    </xdr:from>
    <xdr:to>
      <xdr:col>16</xdr:col>
      <xdr:colOff>347631</xdr:colOff>
      <xdr:row>54</xdr:row>
      <xdr:rowOff>11499</xdr:rowOff>
    </xdr:to>
    <xdr:sp macro="" textlink="">
      <xdr:nvSpPr>
        <xdr:cNvPr id="20" name="AutoShape 461" title="900g">
          <a:extLst>
            <a:ext uri="{FF2B5EF4-FFF2-40B4-BE49-F238E27FC236}">
              <a16:creationId xmlns:a16="http://schemas.microsoft.com/office/drawing/2014/main" id="{27C6DE1C-C1D7-03C0-670C-B2798708FEF6}"/>
            </a:ext>
          </a:extLst>
        </xdr:cNvPr>
        <xdr:cNvSpPr>
          <a:spLocks noChangeArrowheads="1"/>
        </xdr:cNvSpPr>
      </xdr:nvSpPr>
      <xdr:spPr bwMode="auto">
        <a:xfrm>
          <a:off x="6905938" y="8306862"/>
          <a:ext cx="118718" cy="400962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16</xdr:col>
      <xdr:colOff>228913</xdr:colOff>
      <xdr:row>54</xdr:row>
      <xdr:rowOff>20525</xdr:rowOff>
    </xdr:from>
    <xdr:to>
      <xdr:col>16</xdr:col>
      <xdr:colOff>347631</xdr:colOff>
      <xdr:row>57</xdr:row>
      <xdr:rowOff>34273</xdr:rowOff>
    </xdr:to>
    <xdr:sp macro="" textlink="">
      <xdr:nvSpPr>
        <xdr:cNvPr id="21" name="AutoShape 461" title="900g">
          <a:extLst>
            <a:ext uri="{FF2B5EF4-FFF2-40B4-BE49-F238E27FC236}">
              <a16:creationId xmlns:a16="http://schemas.microsoft.com/office/drawing/2014/main" id="{80642036-ABFC-ABFC-1869-2C944CE3C565}"/>
            </a:ext>
          </a:extLst>
        </xdr:cNvPr>
        <xdr:cNvSpPr>
          <a:spLocks noChangeArrowheads="1"/>
        </xdr:cNvSpPr>
      </xdr:nvSpPr>
      <xdr:spPr bwMode="auto">
        <a:xfrm>
          <a:off x="6905938" y="8716850"/>
          <a:ext cx="118718" cy="470948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16</xdr:col>
      <xdr:colOff>222508</xdr:colOff>
      <xdr:row>54</xdr:row>
      <xdr:rowOff>12733</xdr:rowOff>
    </xdr:from>
    <xdr:to>
      <xdr:col>16</xdr:col>
      <xdr:colOff>341226</xdr:colOff>
      <xdr:row>57</xdr:row>
      <xdr:rowOff>26481</xdr:rowOff>
    </xdr:to>
    <xdr:sp macro="" textlink="">
      <xdr:nvSpPr>
        <xdr:cNvPr id="22" name="AutoShape 461" title="900g">
          <a:extLst>
            <a:ext uri="{FF2B5EF4-FFF2-40B4-BE49-F238E27FC236}">
              <a16:creationId xmlns:a16="http://schemas.microsoft.com/office/drawing/2014/main" id="{69C79A3B-255E-A6DA-23AF-FDBC6707BE8A}"/>
            </a:ext>
          </a:extLst>
        </xdr:cNvPr>
        <xdr:cNvSpPr>
          <a:spLocks noChangeArrowheads="1"/>
        </xdr:cNvSpPr>
      </xdr:nvSpPr>
      <xdr:spPr bwMode="auto">
        <a:xfrm rot="21300729">
          <a:off x="6899533" y="8709058"/>
          <a:ext cx="118718" cy="470948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16</xdr:col>
      <xdr:colOff>179343</xdr:colOff>
      <xdr:row>50</xdr:row>
      <xdr:rowOff>145950</xdr:rowOff>
    </xdr:from>
    <xdr:to>
      <xdr:col>16</xdr:col>
      <xdr:colOff>298061</xdr:colOff>
      <xdr:row>54</xdr:row>
      <xdr:rowOff>10611</xdr:rowOff>
    </xdr:to>
    <xdr:sp macro="" textlink="">
      <xdr:nvSpPr>
        <xdr:cNvPr id="23" name="AutoShape 461" title="900g">
          <a:extLst>
            <a:ext uri="{FF2B5EF4-FFF2-40B4-BE49-F238E27FC236}">
              <a16:creationId xmlns:a16="http://schemas.microsoft.com/office/drawing/2014/main" id="{1E143045-6C23-DB47-E31D-5D6A45EF2D97}"/>
            </a:ext>
          </a:extLst>
        </xdr:cNvPr>
        <xdr:cNvSpPr>
          <a:spLocks noChangeArrowheads="1"/>
        </xdr:cNvSpPr>
      </xdr:nvSpPr>
      <xdr:spPr bwMode="auto">
        <a:xfrm rot="21300729">
          <a:off x="6856368" y="8232675"/>
          <a:ext cx="118718" cy="474261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16</xdr:col>
      <xdr:colOff>136994</xdr:colOff>
      <xdr:row>48</xdr:row>
      <xdr:rowOff>45786</xdr:rowOff>
    </xdr:from>
    <xdr:to>
      <xdr:col>16</xdr:col>
      <xdr:colOff>255712</xdr:colOff>
      <xdr:row>50</xdr:row>
      <xdr:rowOff>141006</xdr:rowOff>
    </xdr:to>
    <xdr:sp macro="" textlink="">
      <xdr:nvSpPr>
        <xdr:cNvPr id="24" name="AutoShape 461" title="900g">
          <a:extLst>
            <a:ext uri="{FF2B5EF4-FFF2-40B4-BE49-F238E27FC236}">
              <a16:creationId xmlns:a16="http://schemas.microsoft.com/office/drawing/2014/main" id="{950318B2-1D3D-FAC8-270A-282C5D0017CD}"/>
            </a:ext>
          </a:extLst>
        </xdr:cNvPr>
        <xdr:cNvSpPr>
          <a:spLocks noChangeArrowheads="1"/>
        </xdr:cNvSpPr>
      </xdr:nvSpPr>
      <xdr:spPr bwMode="auto">
        <a:xfrm rot="21300729">
          <a:off x="6814019" y="7827711"/>
          <a:ext cx="118718" cy="400020"/>
        </a:xfrm>
        <a:prstGeom prst="flowChartAlternateProcess">
          <a:avLst/>
        </a:prstGeom>
        <a:solidFill>
          <a:srgbClr val="FFF0DD"/>
        </a:solidFill>
        <a:ln w="9525">
          <a:solidFill>
            <a:sysClr val="windowText" lastClr="000000"/>
          </a:solidFill>
          <a:miter lim="800000"/>
          <a:headEnd/>
          <a:tailEnd/>
        </a:ln>
        <a:effectLst>
          <a:softEdge rad="12700"/>
        </a:effectLst>
        <a:scene3d>
          <a:camera prst="orthographicFront"/>
          <a:lightRig rig="threePt" dir="t"/>
        </a:scene3d>
        <a:sp3d>
          <a:bevelB w="152400" h="50800" prst="softRound"/>
        </a:sp3d>
      </xdr:spPr>
      <xdr:txBody>
        <a:bodyPr vertOverflow="clip" horzOverflow="clip" lIns="36000" tIns="36000" rIns="36000" bIns="36000" anchor="b" anchorCtr="1">
          <a:sp3d z="12700" extrusionH="63500"/>
        </a:bodyPr>
        <a:lstStyle/>
        <a:p>
          <a:endParaRPr lang="pt-BR" sz="700">
            <a:latin typeface="Book Antiqua" panose="02040602050305030304" pitchFamily="18" charset="0"/>
            <a:cs typeface="AngsanaUPC" panose="02020603050405020304" pitchFamily="18" charset="-34"/>
          </a:endParaRPr>
        </a:p>
      </xdr:txBody>
    </xdr:sp>
    <xdr:clientData/>
  </xdr:twoCellAnchor>
  <xdr:oneCellAnchor>
    <xdr:from>
      <xdr:col>17</xdr:col>
      <xdr:colOff>347868</xdr:colOff>
      <xdr:row>30</xdr:row>
      <xdr:rowOff>16565</xdr:rowOff>
    </xdr:from>
    <xdr:ext cx="1565413" cy="342786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77B04E84-CFEE-B499-7B3B-A37661693D32}"/>
            </a:ext>
          </a:extLst>
        </xdr:cNvPr>
        <xdr:cNvSpPr txBox="1"/>
      </xdr:nvSpPr>
      <xdr:spPr>
        <a:xfrm>
          <a:off x="7424943" y="5055290"/>
          <a:ext cx="156541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800"/>
            <a:t>ZONA</a:t>
          </a:r>
        </a:p>
        <a:p>
          <a:r>
            <a:rPr lang="pt-BR" sz="800"/>
            <a:t>DESTAMPONADA</a:t>
          </a:r>
        </a:p>
      </xdr:txBody>
    </xdr:sp>
    <xdr:clientData/>
  </xdr:oneCellAnchor>
  <xdr:oneCellAnchor>
    <xdr:from>
      <xdr:col>16</xdr:col>
      <xdr:colOff>376029</xdr:colOff>
      <xdr:row>22</xdr:row>
      <xdr:rowOff>135834</xdr:rowOff>
    </xdr:from>
    <xdr:ext cx="1565413" cy="342786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D3638AD9-4585-834B-145D-5FDD4BF9FC3E}"/>
            </a:ext>
          </a:extLst>
        </xdr:cNvPr>
        <xdr:cNvSpPr txBox="1"/>
      </xdr:nvSpPr>
      <xdr:spPr>
        <a:xfrm>
          <a:off x="7053054" y="3955359"/>
          <a:ext cx="156541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800"/>
            <a:t>CORDEL</a:t>
          </a:r>
        </a:p>
        <a:p>
          <a:r>
            <a:rPr lang="pt-BR" sz="800"/>
            <a:t>NITROPENTA (NP)</a:t>
          </a:r>
        </a:p>
      </xdr:txBody>
    </xdr:sp>
    <xdr:clientData/>
  </xdr:oneCellAnchor>
  <xdr:oneCellAnchor>
    <xdr:from>
      <xdr:col>12</xdr:col>
      <xdr:colOff>130864</xdr:colOff>
      <xdr:row>42</xdr:row>
      <xdr:rowOff>6625</xdr:rowOff>
    </xdr:from>
    <xdr:ext cx="1565413" cy="342786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224473AC-9571-5051-F349-6F43FD9E07B3}"/>
            </a:ext>
          </a:extLst>
        </xdr:cNvPr>
        <xdr:cNvSpPr txBox="1"/>
      </xdr:nvSpPr>
      <xdr:spPr>
        <a:xfrm>
          <a:off x="5160064" y="6874150"/>
          <a:ext cx="156541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pt-BR" sz="800"/>
            <a:t>ENCARTUCHADO</a:t>
          </a:r>
        </a:p>
        <a:p>
          <a:pPr algn="r"/>
          <a:r>
            <a:rPr lang="pt-BR" sz="800"/>
            <a:t>TIPO</a:t>
          </a:r>
          <a:r>
            <a:rPr lang="pt-BR" sz="800" baseline="0"/>
            <a:t> ENALINE</a:t>
          </a:r>
          <a:endParaRPr lang="pt-BR" sz="800"/>
        </a:p>
      </xdr:txBody>
    </xdr:sp>
    <xdr:clientData/>
  </xdr:oneCellAnchor>
  <xdr:oneCellAnchor>
    <xdr:from>
      <xdr:col>12</xdr:col>
      <xdr:colOff>125894</xdr:colOff>
      <xdr:row>51</xdr:row>
      <xdr:rowOff>76200</xdr:rowOff>
    </xdr:from>
    <xdr:ext cx="1565413" cy="468013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1AF19215-04A2-56AA-1A43-E32983FA7B14}"/>
            </a:ext>
          </a:extLst>
        </xdr:cNvPr>
        <xdr:cNvSpPr txBox="1"/>
      </xdr:nvSpPr>
      <xdr:spPr>
        <a:xfrm>
          <a:off x="5155094" y="8315325"/>
          <a:ext cx="156541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pt-BR" sz="800"/>
            <a:t>ZONA</a:t>
          </a:r>
          <a:r>
            <a:rPr lang="pt-BR" sz="800" baseline="0"/>
            <a:t> DE DOBRA</a:t>
          </a:r>
        </a:p>
        <a:p>
          <a:pPr algn="r"/>
          <a:r>
            <a:rPr lang="pt-BR" sz="800" baseline="0"/>
            <a:t>PARA CONFIGURAÇÃO</a:t>
          </a:r>
        </a:p>
        <a:p>
          <a:pPr algn="r"/>
          <a:r>
            <a:rPr lang="pt-BR" sz="800" baseline="0"/>
            <a:t>DE CARGA DE FUNDO</a:t>
          </a:r>
          <a:endParaRPr lang="pt-BR" sz="800"/>
        </a:p>
      </xdr:txBody>
    </xdr:sp>
    <xdr:clientData/>
  </xdr:oneCellAnchor>
  <xdr:twoCellAnchor>
    <xdr:from>
      <xdr:col>17</xdr:col>
      <xdr:colOff>171450</xdr:colOff>
      <xdr:row>25</xdr:row>
      <xdr:rowOff>47625</xdr:rowOff>
    </xdr:from>
    <xdr:to>
      <xdr:col>17</xdr:col>
      <xdr:colOff>304800</xdr:colOff>
      <xdr:row>25</xdr:row>
      <xdr:rowOff>47625</xdr:rowOff>
    </xdr:to>
    <xdr:sp macro="" textlink="">
      <xdr:nvSpPr>
        <xdr:cNvPr id="3180263" name="Line 163">
          <a:extLst>
            <a:ext uri="{FF2B5EF4-FFF2-40B4-BE49-F238E27FC236}">
              <a16:creationId xmlns:a16="http://schemas.microsoft.com/office/drawing/2014/main" id="{F614921A-75D9-D926-1226-C513AA369E97}"/>
            </a:ext>
          </a:extLst>
        </xdr:cNvPr>
        <xdr:cNvSpPr>
          <a:spLocks noChangeShapeType="1"/>
        </xdr:cNvSpPr>
      </xdr:nvSpPr>
      <xdr:spPr bwMode="auto">
        <a:xfrm>
          <a:off x="7248525" y="4324350"/>
          <a:ext cx="1333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285750</xdr:colOff>
      <xdr:row>25</xdr:row>
      <xdr:rowOff>47625</xdr:rowOff>
    </xdr:from>
    <xdr:to>
      <xdr:col>16</xdr:col>
      <xdr:colOff>9525</xdr:colOff>
      <xdr:row>25</xdr:row>
      <xdr:rowOff>47625</xdr:rowOff>
    </xdr:to>
    <xdr:sp macro="" textlink="">
      <xdr:nvSpPr>
        <xdr:cNvPr id="3180264" name="Line 163">
          <a:extLst>
            <a:ext uri="{FF2B5EF4-FFF2-40B4-BE49-F238E27FC236}">
              <a16:creationId xmlns:a16="http://schemas.microsoft.com/office/drawing/2014/main" id="{566AB1D9-CA6D-8319-BD04-5F5387181D48}"/>
            </a:ext>
          </a:extLst>
        </xdr:cNvPr>
        <xdr:cNvSpPr>
          <a:spLocks noChangeShapeType="1"/>
        </xdr:cNvSpPr>
      </xdr:nvSpPr>
      <xdr:spPr bwMode="auto">
        <a:xfrm>
          <a:off x="6553200" y="4324350"/>
          <a:ext cx="1333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104775</xdr:rowOff>
    </xdr:from>
    <xdr:to>
      <xdr:col>4</xdr:col>
      <xdr:colOff>371475</xdr:colOff>
      <xdr:row>1</xdr:row>
      <xdr:rowOff>361950</xdr:rowOff>
    </xdr:to>
    <xdr:pic>
      <xdr:nvPicPr>
        <xdr:cNvPr id="3180265" name="Imagem 2" descr="MVV logo novo">
          <a:extLst>
            <a:ext uri="{FF2B5EF4-FFF2-40B4-BE49-F238E27FC236}">
              <a16:creationId xmlns:a16="http://schemas.microsoft.com/office/drawing/2014/main" id="{54273771-F9F6-8BFA-B291-7B0C571A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11" b="14285"/>
        <a:stretch>
          <a:fillRect/>
        </a:stretch>
      </xdr:blipFill>
      <xdr:spPr bwMode="auto">
        <a:xfrm>
          <a:off x="1085850" y="171450"/>
          <a:ext cx="7620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</xdr:row>
      <xdr:rowOff>85725</xdr:rowOff>
    </xdr:from>
    <xdr:to>
      <xdr:col>3</xdr:col>
      <xdr:colOff>171450</xdr:colOff>
      <xdr:row>1</xdr:row>
      <xdr:rowOff>390525</xdr:rowOff>
    </xdr:to>
    <xdr:pic>
      <xdr:nvPicPr>
        <xdr:cNvPr id="3180266" name="Imagem 2">
          <a:extLst>
            <a:ext uri="{FF2B5EF4-FFF2-40B4-BE49-F238E27FC236}">
              <a16:creationId xmlns:a16="http://schemas.microsoft.com/office/drawing/2014/main" id="{462A4764-8D0F-DB0B-0FA1-8CD07AB69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52400"/>
          <a:ext cx="9429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234950</xdr:colOff>
      <xdr:row>49</xdr:row>
      <xdr:rowOff>38100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9DAAF18E-9C8D-6AD7-32B5-D454F5818015}"/>
            </a:ext>
          </a:extLst>
        </xdr:cNvPr>
        <xdr:cNvSpPr txBox="1"/>
      </xdr:nvSpPr>
      <xdr:spPr>
        <a:xfrm>
          <a:off x="6499038" y="803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/>
        </a:p>
      </xdr:txBody>
    </xdr:sp>
    <xdr:clientData/>
  </xdr:oneCellAnchor>
  <xdr:twoCellAnchor editAs="oneCell">
    <xdr:from>
      <xdr:col>3</xdr:col>
      <xdr:colOff>161925</xdr:colOff>
      <xdr:row>1</xdr:row>
      <xdr:rowOff>104775</xdr:rowOff>
    </xdr:from>
    <xdr:to>
      <xdr:col>4</xdr:col>
      <xdr:colOff>371475</xdr:colOff>
      <xdr:row>1</xdr:row>
      <xdr:rowOff>361950</xdr:rowOff>
    </xdr:to>
    <xdr:pic>
      <xdr:nvPicPr>
        <xdr:cNvPr id="3182614" name="Imagem 2" descr="MVV logo novo">
          <a:extLst>
            <a:ext uri="{FF2B5EF4-FFF2-40B4-BE49-F238E27FC236}">
              <a16:creationId xmlns:a16="http://schemas.microsoft.com/office/drawing/2014/main" id="{C0E43F67-7942-C899-839E-12CBC60A9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11" b="14285"/>
        <a:stretch>
          <a:fillRect/>
        </a:stretch>
      </xdr:blipFill>
      <xdr:spPr bwMode="auto">
        <a:xfrm>
          <a:off x="1085850" y="171450"/>
          <a:ext cx="7620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</xdr:row>
      <xdr:rowOff>85725</xdr:rowOff>
    </xdr:from>
    <xdr:to>
      <xdr:col>3</xdr:col>
      <xdr:colOff>171450</xdr:colOff>
      <xdr:row>1</xdr:row>
      <xdr:rowOff>390525</xdr:rowOff>
    </xdr:to>
    <xdr:pic>
      <xdr:nvPicPr>
        <xdr:cNvPr id="3182615" name="Imagem 2">
          <a:extLst>
            <a:ext uri="{FF2B5EF4-FFF2-40B4-BE49-F238E27FC236}">
              <a16:creationId xmlns:a16="http://schemas.microsoft.com/office/drawing/2014/main" id="{4DCEEC92-A1F0-FA8A-47BA-0B8BE6A0B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52400"/>
          <a:ext cx="9429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61</xdr:row>
      <xdr:rowOff>104775</xdr:rowOff>
    </xdr:from>
    <xdr:to>
      <xdr:col>12</xdr:col>
      <xdr:colOff>104775</xdr:colOff>
      <xdr:row>65</xdr:row>
      <xdr:rowOff>180975</xdr:rowOff>
    </xdr:to>
    <xdr:pic>
      <xdr:nvPicPr>
        <xdr:cNvPr id="3182616" name="Imagem 1">
          <a:extLst>
            <a:ext uri="{FF2B5EF4-FFF2-40B4-BE49-F238E27FC236}">
              <a16:creationId xmlns:a16="http://schemas.microsoft.com/office/drawing/2014/main" id="{BDC23658-62F5-B2D2-CB01-83A119F4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10029825"/>
          <a:ext cx="14859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114300</xdr:colOff>
      <xdr:row>30</xdr:row>
      <xdr:rowOff>114300</xdr:rowOff>
    </xdr:from>
    <xdr:to>
      <xdr:col>19</xdr:col>
      <xdr:colOff>209550</xdr:colOff>
      <xdr:row>53</xdr:row>
      <xdr:rowOff>0</xdr:rowOff>
    </xdr:to>
    <xdr:pic>
      <xdr:nvPicPr>
        <xdr:cNvPr id="3182617" name="Imagem 1">
          <a:extLst>
            <a:ext uri="{FF2B5EF4-FFF2-40B4-BE49-F238E27FC236}">
              <a16:creationId xmlns:a16="http://schemas.microsoft.com/office/drawing/2014/main" id="{96A99953-21E4-2878-6011-3112678E2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5153025"/>
          <a:ext cx="2686050" cy="3390900"/>
        </a:xfrm>
        <a:prstGeom prst="rect">
          <a:avLst/>
        </a:prstGeom>
        <a:noFill/>
        <a:ln w="9525">
          <a:solidFill>
            <a:srgbClr val="7F7F7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140C1D-360F-45B3-9B99-60C0B3973441}">
  <we:reference id="wa200010215" version="2.0.0.0" store="pt-BR" storeType="OMEX"/>
  <we:alternateReferences>
    <we:reference id="WA200010215" version="2.0.0.0" store="WA200010215" storeType="OMEX"/>
  </we:alternateReferences>
  <we:properties>
    <we:property name="bps.codex_control.document_id" value="&quot;2a42cef3-afac-46a6-aef8-5da81a30f21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32B1-8B98-40B1-9B6E-6C2FFF4D7B75}">
  <dimension ref="B1:AK136"/>
  <sheetViews>
    <sheetView topLeftCell="A10" zoomScaleNormal="100" zoomScaleSheetLayoutView="55" workbookViewId="0">
      <selection activeCell="P32" sqref="P32"/>
    </sheetView>
  </sheetViews>
  <sheetFormatPr defaultRowHeight="15" x14ac:dyDescent="0.2"/>
  <cols>
    <col min="1" max="1" width="0.77734375" style="5" customWidth="1"/>
    <col min="2" max="2" width="4.77734375" style="5" customWidth="1"/>
    <col min="3" max="3" width="5.21875" style="5" customWidth="1"/>
    <col min="4" max="4" width="6.44140625" style="5" customWidth="1"/>
    <col min="5" max="5" width="4.5546875" style="5" customWidth="1"/>
    <col min="6" max="6" width="6.33203125" style="5" customWidth="1"/>
    <col min="7" max="7" width="4.33203125" style="5" customWidth="1"/>
    <col min="8" max="8" width="4.88671875" style="5" customWidth="1"/>
    <col min="9" max="11" width="5.21875" style="5" customWidth="1"/>
    <col min="12" max="12" width="5.6640625" style="5" customWidth="1"/>
    <col min="13" max="13" width="5.5546875" style="5" customWidth="1"/>
    <col min="14" max="14" width="3.6640625" style="5" customWidth="1"/>
    <col min="15" max="15" width="5.21875" style="5" customWidth="1"/>
    <col min="16" max="16" width="4.77734375" style="5" customWidth="1"/>
    <col min="17" max="17" width="4.6640625" style="5" customWidth="1"/>
    <col min="18" max="18" width="7" style="5" customWidth="1"/>
    <col min="19" max="19" width="4.88671875" style="5" customWidth="1"/>
    <col min="20" max="20" width="3.77734375" style="5" customWidth="1"/>
    <col min="21" max="21" width="5.77734375" style="47" customWidth="1"/>
    <col min="22" max="22" width="17" style="47" bestFit="1" customWidth="1"/>
    <col min="23" max="23" width="18.88671875" style="47" bestFit="1" customWidth="1"/>
    <col min="24" max="24" width="11.44140625" style="47" bestFit="1" customWidth="1"/>
    <col min="25" max="25" width="7" style="47" bestFit="1" customWidth="1"/>
    <col min="26" max="26" width="22.88671875" style="47" bestFit="1" customWidth="1"/>
    <col min="27" max="27" width="15.21875" style="47" bestFit="1" customWidth="1"/>
    <col min="28" max="28" width="5.44140625" style="47" bestFit="1" customWidth="1"/>
    <col min="29" max="29" width="2" style="47" bestFit="1" customWidth="1"/>
    <col min="30" max="30" width="8.88671875" style="47"/>
    <col min="31" max="16384" width="8.88671875" style="5"/>
  </cols>
  <sheetData>
    <row r="1" spans="2:37" ht="5.25" customHeight="1" thickBot="1" x14ac:dyDescent="0.25">
      <c r="M1" s="5" t="s">
        <v>15</v>
      </c>
    </row>
    <row r="2" spans="2:37" ht="39" customHeight="1" x14ac:dyDescent="0.2">
      <c r="B2" s="22"/>
      <c r="C2" s="23"/>
      <c r="D2" s="23"/>
      <c r="E2" s="23"/>
      <c r="F2" s="23"/>
      <c r="G2" s="23"/>
      <c r="H2" s="23"/>
      <c r="I2" s="183" t="s">
        <v>6</v>
      </c>
      <c r="J2" s="183"/>
      <c r="K2" s="183"/>
      <c r="L2" s="183"/>
      <c r="M2" s="183"/>
      <c r="N2" s="183"/>
      <c r="O2" s="198" t="s">
        <v>102</v>
      </c>
      <c r="P2" s="198"/>
      <c r="Q2" s="198"/>
      <c r="R2" s="286" t="str">
        <f>M7</f>
        <v>PC090526</v>
      </c>
      <c r="S2" s="286"/>
      <c r="T2" s="287"/>
    </row>
    <row r="3" spans="2:37" ht="13.5" customHeight="1" x14ac:dyDescent="0.2">
      <c r="B3" s="29"/>
      <c r="C3" s="30"/>
      <c r="D3" s="30"/>
      <c r="E3" s="30"/>
      <c r="F3" s="30"/>
      <c r="G3" s="30"/>
      <c r="H3" s="30"/>
      <c r="I3" s="184"/>
      <c r="J3" s="184"/>
      <c r="K3" s="184"/>
      <c r="L3" s="184"/>
      <c r="M3" s="184"/>
      <c r="N3" s="184"/>
      <c r="O3" s="199"/>
      <c r="P3" s="199"/>
      <c r="Q3" s="199"/>
      <c r="R3" s="288"/>
      <c r="S3" s="288"/>
      <c r="T3" s="289"/>
    </row>
    <row r="4" spans="2:37" s="24" customFormat="1" ht="13.5" customHeight="1" x14ac:dyDescent="0.2">
      <c r="B4" s="185" t="s">
        <v>0</v>
      </c>
      <c r="C4" s="186"/>
      <c r="D4" s="186"/>
      <c r="E4" s="187"/>
      <c r="F4" s="188" t="s">
        <v>30</v>
      </c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 spans="2:37" s="25" customFormat="1" ht="13.5" customHeight="1" x14ac:dyDescent="0.2">
      <c r="B5" s="185" t="s">
        <v>28</v>
      </c>
      <c r="C5" s="186"/>
      <c r="D5" s="186"/>
      <c r="E5" s="71" t="str">
        <f>V16</f>
        <v>-</v>
      </c>
      <c r="F5" s="180" t="str">
        <f>X16</f>
        <v>-</v>
      </c>
      <c r="G5" s="181"/>
      <c r="H5" s="180" t="str">
        <f>W16</f>
        <v>-</v>
      </c>
      <c r="I5" s="181"/>
      <c r="J5" s="180" t="str">
        <f>Y16</f>
        <v>-</v>
      </c>
      <c r="K5" s="181"/>
      <c r="L5" s="290" t="s">
        <v>1</v>
      </c>
      <c r="M5" s="196"/>
      <c r="N5" s="177">
        <f>AA24</f>
        <v>46164</v>
      </c>
      <c r="O5" s="178"/>
      <c r="P5" s="179"/>
      <c r="Q5" s="200" t="s">
        <v>5</v>
      </c>
      <c r="R5" s="201"/>
      <c r="S5" s="191">
        <f>AA25</f>
        <v>0.5</v>
      </c>
      <c r="T5" s="192"/>
      <c r="U5" s="49"/>
      <c r="Z5" s="49"/>
      <c r="AA5" s="49"/>
      <c r="AB5" s="49"/>
      <c r="AC5" s="49"/>
      <c r="AD5" s="49"/>
    </row>
    <row r="6" spans="2:37" s="25" customFormat="1" ht="13.5" customHeight="1" x14ac:dyDescent="0.2">
      <c r="B6" s="99" t="s">
        <v>27</v>
      </c>
      <c r="C6" s="79"/>
      <c r="D6" s="80"/>
      <c r="E6" s="203" t="str">
        <f>AA44</f>
        <v>-</v>
      </c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5"/>
      <c r="U6" s="49"/>
      <c r="Z6" s="49"/>
      <c r="AA6" s="49"/>
      <c r="AB6" s="49"/>
      <c r="AC6" s="49"/>
      <c r="AD6" s="49"/>
    </row>
    <row r="7" spans="2:37" s="25" customFormat="1" ht="13.5" customHeight="1" x14ac:dyDescent="0.2">
      <c r="B7" s="139" t="s">
        <v>23</v>
      </c>
      <c r="C7" s="100"/>
      <c r="D7" s="100"/>
      <c r="E7" s="202" t="str">
        <f>AA26</f>
        <v>230-220</v>
      </c>
      <c r="F7" s="202"/>
      <c r="G7" s="202"/>
      <c r="H7" s="100" t="s">
        <v>14</v>
      </c>
      <c r="I7" s="100"/>
      <c r="J7" s="100"/>
      <c r="K7" s="100"/>
      <c r="L7" s="100"/>
      <c r="M7" s="212" t="str">
        <f>AA29</f>
        <v>PC090526</v>
      </c>
      <c r="N7" s="212"/>
      <c r="O7" s="78" t="s">
        <v>31</v>
      </c>
      <c r="P7" s="79"/>
      <c r="Q7" s="79"/>
      <c r="R7" s="80"/>
      <c r="S7" s="175" t="str">
        <f>AA31</f>
        <v>Não informado</v>
      </c>
      <c r="T7" s="176"/>
      <c r="U7" s="49"/>
      <c r="V7" s="56"/>
      <c r="W7" s="50"/>
      <c r="X7" s="50"/>
      <c r="Y7" s="50"/>
      <c r="Z7" s="50"/>
      <c r="AA7" s="50"/>
      <c r="AB7" s="57"/>
      <c r="AC7" s="49"/>
      <c r="AD7" s="49"/>
      <c r="AE7" s="100" t="s">
        <v>95</v>
      </c>
      <c r="AF7" s="100"/>
      <c r="AG7" s="100"/>
      <c r="AH7" s="100"/>
      <c r="AI7" s="100"/>
      <c r="AJ7" s="101" t="e">
        <f>AB10/AB6</f>
        <v>#DIV/0!</v>
      </c>
      <c r="AK7" s="101"/>
    </row>
    <row r="8" spans="2:37" s="25" customFormat="1" ht="13.5" customHeight="1" x14ac:dyDescent="0.2">
      <c r="B8" s="139" t="s">
        <v>2</v>
      </c>
      <c r="C8" s="100"/>
      <c r="D8" s="100"/>
      <c r="E8" s="182">
        <f>AA47</f>
        <v>100</v>
      </c>
      <c r="F8" s="182"/>
      <c r="G8" s="182"/>
      <c r="H8" s="100" t="s">
        <v>94</v>
      </c>
      <c r="I8" s="100"/>
      <c r="J8" s="100"/>
      <c r="K8" s="100"/>
      <c r="L8" s="100"/>
      <c r="M8" s="197">
        <f>AA30</f>
        <v>4</v>
      </c>
      <c r="N8" s="197"/>
      <c r="O8" s="78" t="s">
        <v>32</v>
      </c>
      <c r="P8" s="79"/>
      <c r="Q8" s="79"/>
      <c r="R8" s="80"/>
      <c r="S8" s="175" t="str">
        <f>AA32</f>
        <v>-</v>
      </c>
      <c r="T8" s="176"/>
      <c r="U8" s="49"/>
      <c r="V8" s="129" t="e">
        <f>PI()*($M$8*25.4)^2/4/1000*(#REF!)</f>
        <v>#REF!</v>
      </c>
      <c r="W8" s="130"/>
      <c r="X8" s="130"/>
      <c r="Y8" s="130"/>
      <c r="Z8" s="130"/>
      <c r="AA8" s="127" t="e">
        <f>PI()*(S20*25.4)^2/4/1000*($S$13)*1.7</f>
        <v>#VALUE!</v>
      </c>
      <c r="AB8" s="128"/>
      <c r="AC8" s="49"/>
      <c r="AD8" s="49"/>
      <c r="AE8" s="100" t="s">
        <v>85</v>
      </c>
      <c r="AF8" s="100"/>
      <c r="AG8" s="100"/>
      <c r="AH8" s="100"/>
      <c r="AI8" s="100"/>
      <c r="AJ8" s="76" t="e">
        <f>AJ7-AJ15</f>
        <v>#DIV/0!</v>
      </c>
      <c r="AK8" s="76"/>
    </row>
    <row r="9" spans="2:37" s="25" customFormat="1" ht="13.5" customHeight="1" x14ac:dyDescent="0.2">
      <c r="B9" s="139" t="s">
        <v>90</v>
      </c>
      <c r="C9" s="100"/>
      <c r="D9" s="100"/>
      <c r="E9" s="76">
        <f>AA48</f>
        <v>10</v>
      </c>
      <c r="F9" s="76"/>
      <c r="G9" s="76"/>
      <c r="H9" s="77"/>
      <c r="I9" s="77"/>
      <c r="J9" s="77"/>
      <c r="K9" s="77"/>
      <c r="L9" s="77"/>
      <c r="M9" s="170"/>
      <c r="N9" s="170"/>
      <c r="O9" s="131"/>
      <c r="P9" s="132"/>
      <c r="Q9" s="132"/>
      <c r="R9" s="133"/>
      <c r="S9" s="213"/>
      <c r="T9" s="214"/>
      <c r="U9" s="49"/>
      <c r="V9" s="49"/>
      <c r="W9" s="49"/>
      <c r="X9" s="49"/>
      <c r="Y9" s="49"/>
      <c r="Z9" s="49"/>
      <c r="AA9" s="49"/>
      <c r="AB9" s="49"/>
      <c r="AC9" s="49"/>
      <c r="AD9" s="49"/>
    </row>
    <row r="10" spans="2:37" s="25" customFormat="1" ht="13.5" customHeight="1" x14ac:dyDescent="0.2">
      <c r="B10" s="158" t="s">
        <v>91</v>
      </c>
      <c r="C10" s="159"/>
      <c r="D10" s="160"/>
      <c r="E10" s="164">
        <f>AA27</f>
        <v>1.2</v>
      </c>
      <c r="F10" s="165"/>
      <c r="G10" s="166"/>
      <c r="H10" s="77"/>
      <c r="I10" s="77"/>
      <c r="J10" s="77"/>
      <c r="K10" s="77"/>
      <c r="L10" s="77"/>
      <c r="M10" s="211"/>
      <c r="N10" s="211"/>
      <c r="O10" s="78" t="s">
        <v>99</v>
      </c>
      <c r="P10" s="79"/>
      <c r="Q10" s="79"/>
      <c r="R10" s="80"/>
      <c r="S10" s="147">
        <f>AA34</f>
        <v>15</v>
      </c>
      <c r="T10" s="148"/>
      <c r="U10" s="49"/>
      <c r="V10" s="49"/>
      <c r="W10" s="49"/>
      <c r="X10" s="49"/>
      <c r="Y10" s="49"/>
      <c r="Z10" s="49"/>
      <c r="AA10" s="49"/>
      <c r="AB10" s="49"/>
      <c r="AC10" s="49"/>
      <c r="AD10" s="49"/>
    </row>
    <row r="11" spans="2:37" s="25" customFormat="1" ht="13.5" customHeight="1" x14ac:dyDescent="0.2">
      <c r="B11" s="161"/>
      <c r="C11" s="162"/>
      <c r="D11" s="163"/>
      <c r="E11" s="167"/>
      <c r="F11" s="168"/>
      <c r="G11" s="169"/>
      <c r="H11" s="100" t="s">
        <v>96</v>
      </c>
      <c r="I11" s="100"/>
      <c r="J11" s="100"/>
      <c r="K11" s="100"/>
      <c r="L11" s="100"/>
      <c r="M11" s="153" t="s">
        <v>38</v>
      </c>
      <c r="N11" s="153"/>
      <c r="O11" s="78" t="s">
        <v>100</v>
      </c>
      <c r="P11" s="79"/>
      <c r="Q11" s="79"/>
      <c r="R11" s="80"/>
      <c r="S11" s="206">
        <f>E9/COS(S10*PI()/180)</f>
        <v>10.35276180410083</v>
      </c>
      <c r="T11" s="207"/>
      <c r="U11" s="49"/>
    </row>
    <row r="12" spans="2:37" s="25" customFormat="1" ht="13.5" customHeight="1" x14ac:dyDescent="0.2">
      <c r="B12" s="118" t="str">
        <f>Z37</f>
        <v>Ibegel 2" x 24"</v>
      </c>
      <c r="C12" s="119"/>
      <c r="D12" s="120"/>
      <c r="E12" s="283">
        <f>IF($S$20=$X$18,$E$8*AA45,AA37)</f>
        <v>0</v>
      </c>
      <c r="F12" s="284"/>
      <c r="G12" s="285"/>
      <c r="H12" s="100" t="s">
        <v>97</v>
      </c>
      <c r="I12" s="100"/>
      <c r="J12" s="100"/>
      <c r="K12" s="100"/>
      <c r="L12" s="100"/>
      <c r="M12" s="210">
        <f>E12</f>
        <v>0</v>
      </c>
      <c r="N12" s="210"/>
      <c r="O12" s="78" t="s">
        <v>103</v>
      </c>
      <c r="P12" s="79"/>
      <c r="Q12" s="79"/>
      <c r="R12" s="80"/>
      <c r="S12" s="215">
        <f>AA35</f>
        <v>3</v>
      </c>
      <c r="T12" s="216"/>
      <c r="U12" s="49"/>
    </row>
    <row r="13" spans="2:37" s="25" customFormat="1" ht="13.5" customHeight="1" x14ac:dyDescent="0.2">
      <c r="B13" s="118" t="s">
        <v>92</v>
      </c>
      <c r="C13" s="119"/>
      <c r="D13" s="120"/>
      <c r="E13" s="283">
        <f>AA28</f>
        <v>1.389</v>
      </c>
      <c r="F13" s="284"/>
      <c r="G13" s="285"/>
      <c r="H13" s="77"/>
      <c r="I13" s="77"/>
      <c r="J13" s="77"/>
      <c r="K13" s="77"/>
      <c r="L13" s="77"/>
      <c r="M13" s="97"/>
      <c r="N13" s="98"/>
      <c r="O13" s="149" t="s">
        <v>101</v>
      </c>
      <c r="P13" s="150"/>
      <c r="Q13" s="150"/>
      <c r="R13" s="126"/>
      <c r="S13" s="215">
        <v>1.1499999999999999</v>
      </c>
      <c r="T13" s="216"/>
      <c r="U13" s="49"/>
      <c r="V13" s="49"/>
      <c r="W13" s="49"/>
      <c r="X13" s="49"/>
      <c r="Y13" s="49"/>
    </row>
    <row r="14" spans="2:37" s="25" customFormat="1" ht="13.5" customHeight="1" x14ac:dyDescent="0.2">
      <c r="B14" s="277" t="s">
        <v>93</v>
      </c>
      <c r="C14" s="278"/>
      <c r="D14" s="279"/>
      <c r="E14" s="280">
        <f>IF($S$20=$X$18,$E$8,AA38)</f>
        <v>0</v>
      </c>
      <c r="F14" s="281"/>
      <c r="G14" s="282"/>
      <c r="H14" s="96"/>
      <c r="I14" s="96"/>
      <c r="J14" s="96"/>
      <c r="K14" s="96"/>
      <c r="L14" s="96"/>
      <c r="M14" s="230"/>
      <c r="N14" s="231"/>
      <c r="O14" s="131"/>
      <c r="P14" s="132"/>
      <c r="Q14" s="132"/>
      <c r="R14" s="133"/>
      <c r="S14" s="134"/>
      <c r="T14" s="135"/>
      <c r="U14" s="49"/>
      <c r="V14" s="49"/>
      <c r="W14" s="49"/>
      <c r="X14" s="49"/>
      <c r="Y14" s="49"/>
    </row>
    <row r="15" spans="2:37" s="25" customFormat="1" ht="13.5" customHeight="1" x14ac:dyDescent="0.2">
      <c r="B15" s="99" t="str">
        <f>Z39</f>
        <v>BRITACORD NP 05 BR</v>
      </c>
      <c r="C15" s="79"/>
      <c r="D15" s="80"/>
      <c r="E15" s="136">
        <f>IF($S$20=$X$18,"-",AA39)</f>
        <v>0</v>
      </c>
      <c r="F15" s="137"/>
      <c r="G15" s="138"/>
      <c r="H15" s="96"/>
      <c r="I15" s="96"/>
      <c r="J15" s="96"/>
      <c r="K15" s="96"/>
      <c r="L15" s="96"/>
      <c r="M15" s="193"/>
      <c r="N15" s="194"/>
      <c r="O15" s="131"/>
      <c r="P15" s="132"/>
      <c r="Q15" s="132"/>
      <c r="R15" s="133"/>
      <c r="S15" s="134"/>
      <c r="T15" s="135"/>
      <c r="U15" s="49"/>
      <c r="V15" s="276" t="s">
        <v>28</v>
      </c>
      <c r="W15" s="276"/>
      <c r="X15" s="276"/>
      <c r="Y15" s="276"/>
    </row>
    <row r="16" spans="2:37" s="25" customFormat="1" ht="13.5" customHeight="1" thickBot="1" x14ac:dyDescent="0.25">
      <c r="B16" s="99" t="str">
        <f>Z40</f>
        <v>BRITACORD NP 10 BR</v>
      </c>
      <c r="C16" s="79"/>
      <c r="D16" s="80"/>
      <c r="E16" s="246">
        <f>IF($S$20=$X$18,"-",AA40)</f>
        <v>0</v>
      </c>
      <c r="F16" s="247"/>
      <c r="G16" s="248"/>
      <c r="H16" s="96"/>
      <c r="I16" s="96"/>
      <c r="J16" s="96"/>
      <c r="K16" s="96"/>
      <c r="L16" s="96"/>
      <c r="M16" s="193"/>
      <c r="N16" s="194"/>
      <c r="O16" s="241" t="s">
        <v>24</v>
      </c>
      <c r="P16" s="242"/>
      <c r="Q16" s="242"/>
      <c r="R16" s="243"/>
      <c r="S16" s="217" t="s">
        <v>38</v>
      </c>
      <c r="T16" s="218"/>
      <c r="U16" s="49"/>
      <c r="V16" s="51" t="s">
        <v>10</v>
      </c>
      <c r="W16" s="48" t="s">
        <v>10</v>
      </c>
      <c r="X16" s="58" t="s">
        <v>10</v>
      </c>
      <c r="Y16" s="51" t="s">
        <v>10</v>
      </c>
      <c r="Z16" s="49"/>
      <c r="AA16" s="49"/>
      <c r="AB16" s="49"/>
      <c r="AC16" s="49"/>
      <c r="AD16" s="49"/>
    </row>
    <row r="17" spans="2:30" s="25" customFormat="1" ht="13.5" customHeight="1" thickBot="1" x14ac:dyDescent="0.25">
      <c r="B17" s="99" t="str">
        <f>Z41</f>
        <v>BRITACORD NP 40 BR</v>
      </c>
      <c r="C17" s="79"/>
      <c r="D17" s="80"/>
      <c r="E17" s="246">
        <f>IF($S$20=$X$18,"-",AA41)</f>
        <v>0</v>
      </c>
      <c r="F17" s="247"/>
      <c r="G17" s="248"/>
      <c r="H17" s="78" t="s">
        <v>98</v>
      </c>
      <c r="I17" s="79"/>
      <c r="J17" s="79"/>
      <c r="K17" s="79"/>
      <c r="L17" s="80"/>
      <c r="M17" s="225">
        <f>AA49</f>
        <v>2</v>
      </c>
      <c r="N17" s="76"/>
      <c r="O17" s="241" t="s">
        <v>8</v>
      </c>
      <c r="P17" s="242"/>
      <c r="Q17" s="242"/>
      <c r="R17" s="243"/>
      <c r="S17" s="228" t="s">
        <v>38</v>
      </c>
      <c r="T17" s="229"/>
      <c r="U17" s="49"/>
      <c r="Z17" s="49"/>
      <c r="AA17" s="49"/>
      <c r="AB17" s="49"/>
      <c r="AC17" s="49"/>
      <c r="AD17" s="49"/>
    </row>
    <row r="18" spans="2:30" s="25" customFormat="1" ht="13.5" customHeight="1" thickBot="1" x14ac:dyDescent="0.25">
      <c r="B18" s="99" t="str">
        <f>Z42</f>
        <v>BRITACORD NP 60 BR</v>
      </c>
      <c r="C18" s="79"/>
      <c r="D18" s="80"/>
      <c r="E18" s="246">
        <f>IF($S$20=$X$18,"-",AA42)</f>
        <v>0</v>
      </c>
      <c r="F18" s="247"/>
      <c r="G18" s="248"/>
      <c r="H18" s="271"/>
      <c r="I18" s="272"/>
      <c r="J18" s="272"/>
      <c r="K18" s="272"/>
      <c r="L18" s="273"/>
      <c r="M18" s="274"/>
      <c r="N18" s="275"/>
      <c r="O18" s="232" t="s">
        <v>11</v>
      </c>
      <c r="P18" s="233"/>
      <c r="Q18" s="233"/>
      <c r="R18" s="234"/>
      <c r="S18" s="217" t="s">
        <v>38</v>
      </c>
      <c r="T18" s="218"/>
      <c r="U18" s="49"/>
      <c r="V18" s="61" t="s">
        <v>44</v>
      </c>
      <c r="W18" s="62" t="s">
        <v>45</v>
      </c>
      <c r="X18" s="63" t="s">
        <v>46</v>
      </c>
      <c r="Z18" s="49"/>
      <c r="AA18" s="49"/>
      <c r="AB18" s="49"/>
      <c r="AC18" s="49"/>
      <c r="AD18" s="49"/>
    </row>
    <row r="19" spans="2:30" s="24" customFormat="1" x14ac:dyDescent="0.2">
      <c r="B19" s="90" t="s">
        <v>17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2"/>
      <c r="N19" s="151" t="s">
        <v>107</v>
      </c>
      <c r="O19" s="152"/>
      <c r="P19" s="152"/>
      <c r="Q19" s="152"/>
      <c r="R19" s="152"/>
      <c r="S19" s="76">
        <f>E8*M17</f>
        <v>200</v>
      </c>
      <c r="T19" s="251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spans="2:30" s="24" customFormat="1" ht="13.5" customHeight="1" thickBot="1" x14ac:dyDescent="0.25"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7"/>
      <c r="N20" s="151" t="s">
        <v>43</v>
      </c>
      <c r="O20" s="152"/>
      <c r="P20" s="152"/>
      <c r="Q20" s="152"/>
      <c r="R20" s="152"/>
      <c r="S20" s="182" t="str">
        <f>V18</f>
        <v>Realizado</v>
      </c>
      <c r="T20" s="252"/>
      <c r="U20" s="47"/>
      <c r="Y20" s="47"/>
      <c r="AD20" s="47"/>
    </row>
    <row r="21" spans="2:30" ht="6" hidden="1" customHeight="1" x14ac:dyDescent="0.2">
      <c r="B21" s="33" t="s">
        <v>20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9"/>
      <c r="O21" s="39"/>
      <c r="P21" s="39"/>
      <c r="Q21" s="39"/>
      <c r="R21" s="39"/>
      <c r="S21" s="39"/>
      <c r="T21" s="40"/>
    </row>
    <row r="22" spans="2:30" ht="12" customHeight="1" x14ac:dyDescent="0.2">
      <c r="B22" s="33" t="s">
        <v>19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90" t="s">
        <v>25</v>
      </c>
      <c r="O22" s="91"/>
      <c r="P22" s="91"/>
      <c r="Q22" s="91"/>
      <c r="R22" s="91"/>
      <c r="S22" s="91"/>
      <c r="T22" s="92"/>
    </row>
    <row r="23" spans="2:30" ht="12" customHeight="1" thickBot="1" x14ac:dyDescent="0.25"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93"/>
      <c r="O23" s="94"/>
      <c r="P23" s="94"/>
      <c r="Q23" s="94"/>
      <c r="R23" s="94"/>
      <c r="S23" s="94"/>
      <c r="T23" s="95"/>
      <c r="V23" s="250" t="s">
        <v>83</v>
      </c>
      <c r="W23" s="250"/>
      <c r="X23" s="250"/>
      <c r="Z23" s="249" t="s">
        <v>82</v>
      </c>
      <c r="AA23" s="249"/>
    </row>
    <row r="24" spans="2:30" ht="12" customHeight="1" x14ac:dyDescent="0.2"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6"/>
      <c r="O24" s="27"/>
      <c r="P24" s="27"/>
      <c r="Q24" s="27"/>
      <c r="R24" s="27"/>
      <c r="S24" s="27"/>
      <c r="T24" s="28"/>
      <c r="V24" s="64" t="s">
        <v>42</v>
      </c>
      <c r="W24" s="65" t="s">
        <v>47</v>
      </c>
      <c r="X24" s="66">
        <v>14.4</v>
      </c>
      <c r="Z24" s="59" t="s">
        <v>1</v>
      </c>
      <c r="AA24" s="53">
        <v>46164</v>
      </c>
    </row>
    <row r="25" spans="2:30" ht="12" customHeight="1" x14ac:dyDescent="0.2">
      <c r="B25" s="33" t="s">
        <v>35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  <c r="N25" s="26"/>
      <c r="O25" s="27"/>
      <c r="P25" s="27"/>
      <c r="Q25" s="27"/>
      <c r="R25" s="27"/>
      <c r="S25" s="27"/>
      <c r="T25" s="28"/>
      <c r="V25" s="64" t="s">
        <v>74</v>
      </c>
      <c r="W25" s="65" t="s">
        <v>47</v>
      </c>
      <c r="X25" s="66">
        <v>10.86</v>
      </c>
      <c r="Z25" s="60" t="s">
        <v>5</v>
      </c>
      <c r="AA25" s="55">
        <v>0.5</v>
      </c>
    </row>
    <row r="26" spans="2:30" ht="12" customHeight="1" x14ac:dyDescent="0.2">
      <c r="B26" s="33" t="s">
        <v>18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5"/>
      <c r="N26" s="26"/>
      <c r="O26" s="27"/>
      <c r="P26" s="27"/>
      <c r="Q26" s="27"/>
      <c r="R26" s="27"/>
      <c r="S26" s="27"/>
      <c r="T26" s="28"/>
      <c r="V26" s="64" t="s">
        <v>73</v>
      </c>
      <c r="W26" s="65" t="s">
        <v>47</v>
      </c>
      <c r="X26" s="66">
        <v>15.46</v>
      </c>
      <c r="Z26" s="60" t="s">
        <v>23</v>
      </c>
      <c r="AA26" s="54" t="s">
        <v>87</v>
      </c>
    </row>
    <row r="27" spans="2:30" ht="12" customHeight="1" x14ac:dyDescent="0.2">
      <c r="B27" s="33" t="s">
        <v>12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5"/>
      <c r="N27" s="26"/>
      <c r="O27" s="27"/>
      <c r="P27" s="27"/>
      <c r="Q27" s="27"/>
      <c r="R27" s="27"/>
      <c r="S27" s="27"/>
      <c r="T27" s="28"/>
      <c r="V27" s="64" t="s">
        <v>72</v>
      </c>
      <c r="W27" s="65" t="s">
        <v>47</v>
      </c>
      <c r="X27" s="66">
        <v>8.94</v>
      </c>
      <c r="Z27" s="60" t="s">
        <v>29</v>
      </c>
      <c r="AA27" s="52">
        <v>1.2</v>
      </c>
    </row>
    <row r="28" spans="2:30" ht="12" customHeight="1" x14ac:dyDescent="0.2">
      <c r="B28" s="33" t="s">
        <v>13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26"/>
      <c r="O28" s="27"/>
      <c r="P28" s="27"/>
      <c r="Q28" s="27"/>
      <c r="R28" s="27"/>
      <c r="S28" s="27"/>
      <c r="T28" s="28"/>
      <c r="V28" s="64" t="s">
        <v>71</v>
      </c>
      <c r="W28" s="65" t="s">
        <v>47</v>
      </c>
      <c r="X28" s="52">
        <v>13.56</v>
      </c>
      <c r="Z28" s="69" t="s">
        <v>39</v>
      </c>
      <c r="AA28" s="70">
        <f>IFERROR(VLOOKUP(Z37,$V$24:$X$51,3,FALSE),"")</f>
        <v>1.389</v>
      </c>
    </row>
    <row r="29" spans="2:30" ht="12" customHeight="1" x14ac:dyDescent="0.2"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6"/>
      <c r="O29" s="27"/>
      <c r="P29" s="27"/>
      <c r="Q29" s="27"/>
      <c r="R29" s="27"/>
      <c r="S29" s="27"/>
      <c r="T29" s="28"/>
      <c r="V29" s="64" t="s">
        <v>70</v>
      </c>
      <c r="W29" s="65" t="s">
        <v>47</v>
      </c>
      <c r="X29" s="52">
        <v>19.3</v>
      </c>
      <c r="Z29" s="60" t="s">
        <v>14</v>
      </c>
      <c r="AA29" s="54" t="s">
        <v>105</v>
      </c>
    </row>
    <row r="30" spans="2:30" ht="12" customHeight="1" x14ac:dyDescent="0.2">
      <c r="B30" s="140" t="s">
        <v>21</v>
      </c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2"/>
      <c r="N30" s="26"/>
      <c r="O30" s="27"/>
      <c r="P30" s="27"/>
      <c r="Q30" s="27"/>
      <c r="R30" s="27"/>
      <c r="S30" s="27"/>
      <c r="T30" s="28"/>
      <c r="V30" s="64" t="s">
        <v>69</v>
      </c>
      <c r="W30" s="65" t="s">
        <v>47</v>
      </c>
      <c r="X30" s="52">
        <v>9.9600000000000009</v>
      </c>
      <c r="Z30" s="60" t="s">
        <v>3</v>
      </c>
      <c r="AA30" s="52">
        <v>4</v>
      </c>
    </row>
    <row r="31" spans="2:30" ht="12" customHeight="1" x14ac:dyDescent="0.2"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8"/>
      <c r="N31" s="26"/>
      <c r="O31" s="27"/>
      <c r="P31" s="27"/>
      <c r="Q31" s="27"/>
      <c r="R31" s="27"/>
      <c r="S31" s="27"/>
      <c r="T31" s="28"/>
      <c r="V31" s="64" t="s">
        <v>68</v>
      </c>
      <c r="W31" s="65" t="s">
        <v>47</v>
      </c>
      <c r="X31" s="52">
        <v>15.11</v>
      </c>
      <c r="Z31" s="59" t="s">
        <v>31</v>
      </c>
      <c r="AA31" s="54" t="s">
        <v>104</v>
      </c>
    </row>
    <row r="32" spans="2:30" ht="12" customHeight="1" x14ac:dyDescent="0.2">
      <c r="B32" s="155" t="s">
        <v>22</v>
      </c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26"/>
      <c r="O32" s="27"/>
      <c r="P32" s="27"/>
      <c r="Q32" s="27"/>
      <c r="R32" s="27"/>
      <c r="S32" s="27"/>
      <c r="T32" s="28"/>
      <c r="V32" s="64" t="s">
        <v>67</v>
      </c>
      <c r="W32" s="65" t="s">
        <v>47</v>
      </c>
      <c r="X32" s="52">
        <v>21.61</v>
      </c>
      <c r="Z32" s="59" t="s">
        <v>32</v>
      </c>
      <c r="AA32" s="54" t="s">
        <v>10</v>
      </c>
    </row>
    <row r="33" spans="2:27" ht="12" customHeight="1" x14ac:dyDescent="0.2">
      <c r="B33" s="155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26"/>
      <c r="O33" s="27"/>
      <c r="P33" s="27"/>
      <c r="Q33" s="27"/>
      <c r="R33" s="27"/>
      <c r="S33" s="27"/>
      <c r="T33" s="28"/>
      <c r="V33" s="64" t="s">
        <v>66</v>
      </c>
      <c r="W33" s="65" t="s">
        <v>47</v>
      </c>
      <c r="X33" s="52">
        <v>0.11799999999999999</v>
      </c>
      <c r="Z33" s="59" t="s">
        <v>33</v>
      </c>
      <c r="AA33" s="54" t="s">
        <v>10</v>
      </c>
    </row>
    <row r="34" spans="2:27" ht="12" customHeight="1" thickBot="1" x14ac:dyDescent="0.25"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6"/>
      <c r="O34" s="27"/>
      <c r="P34" s="27"/>
      <c r="Q34" s="27"/>
      <c r="R34" s="27"/>
      <c r="S34" s="27"/>
      <c r="T34" s="28"/>
      <c r="V34" s="64" t="s">
        <v>65</v>
      </c>
      <c r="W34" s="65" t="s">
        <v>47</v>
      </c>
      <c r="X34" s="52">
        <v>0.35299999999999998</v>
      </c>
      <c r="Z34" s="59" t="s">
        <v>40</v>
      </c>
      <c r="AA34" s="52">
        <v>15</v>
      </c>
    </row>
    <row r="35" spans="2:27" ht="12" customHeight="1" x14ac:dyDescent="0.2">
      <c r="B35" s="90" t="s">
        <v>75</v>
      </c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2"/>
      <c r="N35" s="26"/>
      <c r="O35" s="27"/>
      <c r="P35" s="27"/>
      <c r="Q35" s="27"/>
      <c r="R35" s="27"/>
      <c r="S35" s="27"/>
      <c r="T35" s="28"/>
      <c r="V35" s="64" t="s">
        <v>64</v>
      </c>
      <c r="W35" s="65" t="s">
        <v>47</v>
      </c>
      <c r="X35" s="52">
        <v>0.22600000000000001</v>
      </c>
      <c r="Z35" s="60" t="s">
        <v>26</v>
      </c>
      <c r="AA35" s="52">
        <v>3</v>
      </c>
    </row>
    <row r="36" spans="2:27" ht="12" customHeight="1" thickBot="1" x14ac:dyDescent="0.25"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26"/>
      <c r="O36" s="27"/>
      <c r="P36" s="27"/>
      <c r="Q36" s="27"/>
      <c r="R36" s="27"/>
      <c r="S36" s="27"/>
      <c r="T36" s="28"/>
      <c r="V36" s="64" t="s">
        <v>63</v>
      </c>
      <c r="W36" s="65" t="s">
        <v>47</v>
      </c>
      <c r="X36" s="52">
        <v>0.36799999999999999</v>
      </c>
      <c r="Z36" s="60" t="s">
        <v>43</v>
      </c>
      <c r="AA36" s="52" t="str">
        <f>X18</f>
        <v>Previsto</v>
      </c>
    </row>
    <row r="37" spans="2:27" ht="12" customHeight="1" x14ac:dyDescent="0.2">
      <c r="B37" s="41"/>
      <c r="M37" s="42"/>
      <c r="N37" s="26"/>
      <c r="O37" s="27"/>
      <c r="P37" s="27"/>
      <c r="Q37" s="27"/>
      <c r="R37" s="27"/>
      <c r="S37" s="27"/>
      <c r="T37" s="28"/>
      <c r="V37" s="64" t="s">
        <v>62</v>
      </c>
      <c r="W37" s="65" t="s">
        <v>47</v>
      </c>
      <c r="X37" s="52">
        <v>0.55600000000000005</v>
      </c>
      <c r="Z37" s="72" t="str">
        <f>V42</f>
        <v>Ibegel 2" x 24"</v>
      </c>
      <c r="AA37" s="68"/>
    </row>
    <row r="38" spans="2:27" ht="12" customHeight="1" x14ac:dyDescent="0.2">
      <c r="B38" s="41"/>
      <c r="M38" s="42"/>
      <c r="N38" s="26"/>
      <c r="O38" s="27"/>
      <c r="P38" s="27"/>
      <c r="Q38" s="27"/>
      <c r="R38" s="27"/>
      <c r="S38" s="27"/>
      <c r="T38" s="28"/>
      <c r="V38" s="64" t="s">
        <v>61</v>
      </c>
      <c r="W38" s="65" t="s">
        <v>47</v>
      </c>
      <c r="X38" s="52">
        <v>0.53200000000000003</v>
      </c>
      <c r="Z38" s="67" t="s">
        <v>16</v>
      </c>
      <c r="AA38" s="52"/>
    </row>
    <row r="39" spans="2:27" ht="12" customHeight="1" x14ac:dyDescent="0.2">
      <c r="B39" s="41"/>
      <c r="M39" s="42"/>
      <c r="N39" s="26"/>
      <c r="O39" s="27"/>
      <c r="P39" s="27"/>
      <c r="Q39" s="27"/>
      <c r="R39" s="27"/>
      <c r="S39" s="27"/>
      <c r="T39" s="28"/>
      <c r="V39" s="64" t="s">
        <v>60</v>
      </c>
      <c r="W39" s="65" t="s">
        <v>47</v>
      </c>
      <c r="X39" s="52">
        <v>0.80700000000000005</v>
      </c>
      <c r="Z39" s="60" t="s">
        <v>108</v>
      </c>
      <c r="AA39" s="52"/>
    </row>
    <row r="40" spans="2:27" ht="12" customHeight="1" x14ac:dyDescent="0.2"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43"/>
      <c r="N40" s="26"/>
      <c r="O40" s="27"/>
      <c r="P40" s="27"/>
      <c r="Q40" s="27"/>
      <c r="R40" s="27"/>
      <c r="S40" s="27"/>
      <c r="T40" s="28"/>
      <c r="V40" s="64" t="s">
        <v>59</v>
      </c>
      <c r="W40" s="65" t="s">
        <v>47</v>
      </c>
      <c r="X40" s="52" t="s">
        <v>10</v>
      </c>
      <c r="Z40" s="60" t="s">
        <v>34</v>
      </c>
      <c r="AA40" s="52"/>
    </row>
    <row r="41" spans="2:27" ht="12" customHeight="1" x14ac:dyDescent="0.2"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43"/>
      <c r="N41" s="26"/>
      <c r="O41" s="27"/>
      <c r="P41" s="27"/>
      <c r="Q41" s="27"/>
      <c r="R41" s="27"/>
      <c r="S41" s="27"/>
      <c r="T41" s="28"/>
      <c r="V41" s="64" t="s">
        <v>58</v>
      </c>
      <c r="W41" s="65" t="s">
        <v>47</v>
      </c>
      <c r="X41" s="52">
        <v>0.92600000000000005</v>
      </c>
      <c r="Z41" s="59" t="s">
        <v>84</v>
      </c>
      <c r="AA41" s="52"/>
    </row>
    <row r="42" spans="2:27" ht="12" customHeight="1" x14ac:dyDescent="0.2"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43"/>
      <c r="N42" s="26"/>
      <c r="O42" s="27"/>
      <c r="P42" s="27"/>
      <c r="Q42" s="27"/>
      <c r="R42" s="27"/>
      <c r="S42" s="27"/>
      <c r="T42" s="28"/>
      <c r="V42" s="64" t="s">
        <v>57</v>
      </c>
      <c r="W42" s="65" t="s">
        <v>47</v>
      </c>
      <c r="X42" s="52">
        <v>1.389</v>
      </c>
      <c r="Z42" s="60" t="s">
        <v>109</v>
      </c>
      <c r="AA42" s="52"/>
    </row>
    <row r="43" spans="2:27" ht="12" customHeight="1" x14ac:dyDescent="0.2"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43"/>
      <c r="N43" s="26"/>
      <c r="O43" s="27"/>
      <c r="P43" s="27"/>
      <c r="Q43" s="27"/>
      <c r="R43" s="27"/>
      <c r="S43" s="27"/>
      <c r="T43" s="28"/>
      <c r="V43" s="64" t="s">
        <v>56</v>
      </c>
      <c r="W43" s="65" t="s">
        <v>47</v>
      </c>
      <c r="X43" s="52">
        <v>1.786</v>
      </c>
      <c r="Z43" s="59" t="s">
        <v>41</v>
      </c>
      <c r="AA43" s="52" t="s">
        <v>86</v>
      </c>
    </row>
    <row r="44" spans="2:27" ht="12" customHeight="1" x14ac:dyDescent="0.2"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43"/>
      <c r="N44" s="26"/>
      <c r="O44" s="27"/>
      <c r="P44" s="27"/>
      <c r="Q44" s="27"/>
      <c r="R44" s="27"/>
      <c r="S44" s="27"/>
      <c r="T44" s="28"/>
      <c r="V44" s="64" t="s">
        <v>55</v>
      </c>
      <c r="W44" s="65" t="s">
        <v>47</v>
      </c>
      <c r="X44" s="52">
        <v>2.2730000000000001</v>
      </c>
      <c r="Z44" s="59" t="s">
        <v>88</v>
      </c>
      <c r="AA44" s="54" t="s">
        <v>10</v>
      </c>
    </row>
    <row r="45" spans="2:27" ht="12" customHeight="1" x14ac:dyDescent="0.2"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43"/>
      <c r="N45" s="26"/>
      <c r="O45" s="27"/>
      <c r="P45" s="27"/>
      <c r="Q45" s="27"/>
      <c r="R45" s="27"/>
      <c r="S45" s="27"/>
      <c r="T45" s="28"/>
      <c r="V45" s="64" t="s">
        <v>54</v>
      </c>
      <c r="W45" s="65" t="s">
        <v>47</v>
      </c>
      <c r="X45" s="52">
        <v>1.0900000000000001</v>
      </c>
      <c r="Z45" s="60" t="s">
        <v>89</v>
      </c>
      <c r="AA45" s="54">
        <v>6</v>
      </c>
    </row>
    <row r="46" spans="2:27" ht="12" customHeight="1" x14ac:dyDescent="0.2"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43"/>
      <c r="N46" s="26"/>
      <c r="O46" s="27"/>
      <c r="P46" s="27"/>
      <c r="Q46" s="27"/>
      <c r="R46" s="27"/>
      <c r="S46" s="27"/>
      <c r="T46" s="28"/>
      <c r="V46" s="64" t="s">
        <v>53</v>
      </c>
      <c r="W46" s="65" t="s">
        <v>47</v>
      </c>
      <c r="X46" s="52">
        <v>2.0830000000000002</v>
      </c>
      <c r="Z46" s="60" t="s">
        <v>7</v>
      </c>
      <c r="AA46" s="54">
        <v>3</v>
      </c>
    </row>
    <row r="47" spans="2:27" ht="12" customHeight="1" x14ac:dyDescent="0.2"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43"/>
      <c r="N47" s="26"/>
      <c r="O47" s="27"/>
      <c r="P47" s="27"/>
      <c r="Q47" s="27"/>
      <c r="R47" s="27"/>
      <c r="S47" s="27"/>
      <c r="T47" s="28"/>
      <c r="V47" s="64" t="s">
        <v>52</v>
      </c>
      <c r="W47" s="65" t="s">
        <v>47</v>
      </c>
      <c r="X47" s="52">
        <v>3.125</v>
      </c>
      <c r="Z47" s="60" t="s">
        <v>106</v>
      </c>
      <c r="AA47" s="54">
        <v>100</v>
      </c>
    </row>
    <row r="48" spans="2:27" ht="12" customHeight="1" thickBot="1" x14ac:dyDescent="0.25">
      <c r="B48" s="44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6"/>
      <c r="N48" s="26"/>
      <c r="O48" s="27"/>
      <c r="P48" s="27"/>
      <c r="Q48" s="27"/>
      <c r="R48" s="27"/>
      <c r="S48" s="27"/>
      <c r="T48" s="28"/>
      <c r="V48" s="64" t="s">
        <v>51</v>
      </c>
      <c r="W48" s="65" t="s">
        <v>47</v>
      </c>
      <c r="X48" s="52">
        <v>2.778</v>
      </c>
      <c r="Z48" s="60" t="s">
        <v>90</v>
      </c>
      <c r="AA48" s="54">
        <v>10</v>
      </c>
    </row>
    <row r="49" spans="2:27" ht="12" customHeight="1" x14ac:dyDescent="0.2">
      <c r="B49" s="90" t="s">
        <v>81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26"/>
      <c r="O49" s="27"/>
      <c r="P49" s="27"/>
      <c r="Q49" s="27"/>
      <c r="R49" s="27"/>
      <c r="S49" s="27"/>
      <c r="T49" s="28"/>
      <c r="V49" s="64" t="s">
        <v>50</v>
      </c>
      <c r="W49" s="65" t="s">
        <v>47</v>
      </c>
      <c r="X49" s="52">
        <v>4.1669999999999998</v>
      </c>
      <c r="Z49" s="60" t="s">
        <v>98</v>
      </c>
      <c r="AA49" s="54">
        <v>2</v>
      </c>
    </row>
    <row r="50" spans="2:27" ht="12" customHeight="1" thickBot="1" x14ac:dyDescent="0.25">
      <c r="B50" s="93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26"/>
      <c r="O50" s="27"/>
      <c r="P50" s="27"/>
      <c r="Q50" s="27"/>
      <c r="R50" s="27"/>
      <c r="S50" s="27"/>
      <c r="T50" s="28"/>
      <c r="V50" s="64" t="s">
        <v>49</v>
      </c>
      <c r="W50" s="65" t="s">
        <v>47</v>
      </c>
      <c r="X50" s="52">
        <v>5.68</v>
      </c>
    </row>
    <row r="51" spans="2:27" ht="12" customHeight="1" x14ac:dyDescent="0.2">
      <c r="B51" s="265"/>
      <c r="C51" s="266"/>
      <c r="D51" s="266"/>
      <c r="E51" s="266"/>
      <c r="F51" s="267"/>
      <c r="G51" s="268"/>
      <c r="H51" s="269"/>
      <c r="I51" s="269"/>
      <c r="J51" s="269"/>
      <c r="K51" s="269"/>
      <c r="L51" s="269"/>
      <c r="M51" s="270"/>
      <c r="N51" s="26"/>
      <c r="O51" s="27"/>
      <c r="P51" s="27"/>
      <c r="Q51" s="27"/>
      <c r="R51" s="27"/>
      <c r="S51" s="27"/>
      <c r="T51" s="28"/>
      <c r="V51" s="64" t="s">
        <v>48</v>
      </c>
      <c r="W51" s="65" t="s">
        <v>47</v>
      </c>
      <c r="X51" s="52">
        <v>8.3330000000000002</v>
      </c>
    </row>
    <row r="52" spans="2:27" ht="12" customHeight="1" x14ac:dyDescent="0.2">
      <c r="B52" s="253"/>
      <c r="C52" s="254"/>
      <c r="D52" s="254"/>
      <c r="E52" s="254"/>
      <c r="F52" s="255"/>
      <c r="G52" s="256"/>
      <c r="H52" s="257"/>
      <c r="I52" s="257"/>
      <c r="J52" s="257"/>
      <c r="K52" s="257"/>
      <c r="L52" s="257"/>
      <c r="M52" s="258"/>
      <c r="N52" s="26"/>
      <c r="O52" s="27"/>
      <c r="P52" s="27"/>
      <c r="Q52" s="27"/>
      <c r="R52" s="27"/>
      <c r="S52" s="27"/>
      <c r="T52" s="28"/>
    </row>
    <row r="53" spans="2:27" ht="12" customHeight="1" x14ac:dyDescent="0.2">
      <c r="B53" s="253"/>
      <c r="C53" s="254"/>
      <c r="D53" s="254"/>
      <c r="E53" s="254"/>
      <c r="F53" s="255"/>
      <c r="G53" s="256"/>
      <c r="H53" s="257"/>
      <c r="I53" s="257"/>
      <c r="J53" s="257"/>
      <c r="K53" s="257"/>
      <c r="L53" s="257"/>
      <c r="M53" s="258"/>
      <c r="N53" s="26"/>
      <c r="O53" s="27"/>
      <c r="P53" s="27"/>
      <c r="Q53" s="27"/>
      <c r="R53" s="27"/>
      <c r="S53" s="27"/>
      <c r="T53" s="28"/>
    </row>
    <row r="54" spans="2:27" ht="12" customHeight="1" x14ac:dyDescent="0.2">
      <c r="B54" s="253"/>
      <c r="C54" s="254"/>
      <c r="D54" s="254"/>
      <c r="E54" s="254"/>
      <c r="F54" s="255"/>
      <c r="G54" s="256"/>
      <c r="H54" s="257"/>
      <c r="I54" s="257"/>
      <c r="J54" s="257"/>
      <c r="K54" s="257"/>
      <c r="L54" s="257"/>
      <c r="M54" s="258"/>
      <c r="N54" s="26"/>
      <c r="O54" s="27"/>
      <c r="P54" s="27"/>
      <c r="Q54" s="27"/>
      <c r="R54" s="27"/>
      <c r="S54" s="27"/>
      <c r="T54" s="28"/>
    </row>
    <row r="55" spans="2:27" ht="12" customHeight="1" x14ac:dyDescent="0.2">
      <c r="B55" s="253"/>
      <c r="C55" s="254"/>
      <c r="D55" s="254"/>
      <c r="E55" s="254"/>
      <c r="F55" s="255"/>
      <c r="G55" s="256"/>
      <c r="H55" s="257"/>
      <c r="I55" s="257"/>
      <c r="J55" s="257"/>
      <c r="K55" s="257"/>
      <c r="L55" s="257"/>
      <c r="M55" s="258"/>
      <c r="N55" s="26"/>
      <c r="O55" s="27"/>
      <c r="P55" s="27"/>
      <c r="Q55" s="27"/>
      <c r="R55" s="27"/>
      <c r="S55" s="27"/>
      <c r="T55" s="28"/>
    </row>
    <row r="56" spans="2:27" ht="12" customHeight="1" x14ac:dyDescent="0.2">
      <c r="B56" s="253"/>
      <c r="C56" s="254"/>
      <c r="D56" s="254"/>
      <c r="E56" s="254"/>
      <c r="F56" s="255"/>
      <c r="G56" s="256"/>
      <c r="H56" s="257"/>
      <c r="I56" s="257"/>
      <c r="J56" s="257"/>
      <c r="K56" s="257"/>
      <c r="L56" s="257"/>
      <c r="M56" s="258"/>
      <c r="N56" s="26"/>
      <c r="O56" s="27"/>
      <c r="P56" s="27"/>
      <c r="Q56" s="27"/>
      <c r="R56" s="27"/>
      <c r="S56" s="27"/>
      <c r="T56" s="28"/>
    </row>
    <row r="57" spans="2:27" ht="12" customHeight="1" x14ac:dyDescent="0.2">
      <c r="B57" s="253"/>
      <c r="C57" s="254"/>
      <c r="D57" s="254"/>
      <c r="E57" s="254"/>
      <c r="F57" s="255"/>
      <c r="G57" s="256"/>
      <c r="H57" s="257"/>
      <c r="I57" s="257"/>
      <c r="J57" s="257"/>
      <c r="K57" s="257"/>
      <c r="L57" s="257"/>
      <c r="M57" s="258"/>
      <c r="N57" s="26"/>
      <c r="O57" s="27"/>
      <c r="P57" s="27"/>
      <c r="Q57" s="27"/>
      <c r="R57" s="27"/>
      <c r="S57" s="27"/>
      <c r="T57" s="28"/>
    </row>
    <row r="58" spans="2:27" x14ac:dyDescent="0.2">
      <c r="B58" s="253"/>
      <c r="C58" s="254"/>
      <c r="D58" s="254"/>
      <c r="E58" s="254"/>
      <c r="F58" s="255"/>
      <c r="G58" s="256"/>
      <c r="H58" s="257"/>
      <c r="I58" s="257"/>
      <c r="J58" s="257"/>
      <c r="K58" s="257"/>
      <c r="L58" s="257"/>
      <c r="M58" s="258"/>
      <c r="N58" s="26"/>
      <c r="O58" s="27"/>
      <c r="P58" s="27"/>
      <c r="Q58" s="27"/>
      <c r="R58" s="27"/>
      <c r="S58" s="27"/>
      <c r="T58" s="28"/>
    </row>
    <row r="59" spans="2:27" ht="15.75" thickBot="1" x14ac:dyDescent="0.25">
      <c r="B59" s="259"/>
      <c r="C59" s="260"/>
      <c r="D59" s="260"/>
      <c r="E59" s="260"/>
      <c r="F59" s="261"/>
      <c r="G59" s="262"/>
      <c r="H59" s="263"/>
      <c r="I59" s="263"/>
      <c r="J59" s="263"/>
      <c r="K59" s="263"/>
      <c r="L59" s="263"/>
      <c r="M59" s="264"/>
      <c r="N59" s="26"/>
      <c r="O59" s="27"/>
      <c r="P59" s="27"/>
      <c r="Q59" s="27"/>
      <c r="R59" s="27"/>
      <c r="S59" s="27"/>
      <c r="T59" s="28"/>
    </row>
    <row r="60" spans="2:27" x14ac:dyDescent="0.2">
      <c r="B60" s="114" t="s">
        <v>76</v>
      </c>
      <c r="C60" s="115"/>
      <c r="D60" s="115"/>
      <c r="E60" s="115"/>
      <c r="F60" s="115"/>
      <c r="G60" s="117"/>
      <c r="H60" s="114" t="s">
        <v>77</v>
      </c>
      <c r="I60" s="115"/>
      <c r="J60" s="115"/>
      <c r="K60" s="115"/>
      <c r="L60" s="115"/>
      <c r="M60" s="116"/>
      <c r="N60" s="144" t="s">
        <v>78</v>
      </c>
      <c r="O60" s="145"/>
      <c r="P60" s="145"/>
      <c r="Q60" s="145"/>
      <c r="R60" s="145"/>
      <c r="S60" s="145"/>
      <c r="T60" s="146"/>
    </row>
    <row r="61" spans="2:27" x14ac:dyDescent="0.2">
      <c r="B61" s="123" t="s">
        <v>36</v>
      </c>
      <c r="C61" s="124"/>
      <c r="D61" s="124"/>
      <c r="E61" s="124"/>
      <c r="F61" s="124"/>
      <c r="G61" s="143"/>
      <c r="H61" s="123" t="s">
        <v>37</v>
      </c>
      <c r="I61" s="124"/>
      <c r="J61" s="124"/>
      <c r="K61" s="124"/>
      <c r="L61" s="124"/>
      <c r="M61" s="143"/>
      <c r="N61" s="125" t="s">
        <v>79</v>
      </c>
      <c r="O61" s="150"/>
      <c r="P61" s="150"/>
      <c r="Q61" s="150"/>
      <c r="R61" s="150"/>
      <c r="S61" s="150"/>
      <c r="T61" s="154"/>
    </row>
    <row r="62" spans="2:27" x14ac:dyDescent="0.2">
      <c r="B62" s="123" t="s">
        <v>80</v>
      </c>
      <c r="C62" s="124"/>
      <c r="D62" s="108" t="s">
        <v>9</v>
      </c>
      <c r="E62" s="108"/>
      <c r="F62" s="108"/>
      <c r="G62" s="109"/>
      <c r="H62" s="123" t="s">
        <v>80</v>
      </c>
      <c r="I62" s="124"/>
      <c r="J62" s="108" t="s">
        <v>9</v>
      </c>
      <c r="K62" s="108"/>
      <c r="L62" s="108"/>
      <c r="M62" s="109"/>
      <c r="N62" s="125" t="s">
        <v>80</v>
      </c>
      <c r="O62" s="126"/>
      <c r="P62" s="102" t="s">
        <v>9</v>
      </c>
      <c r="Q62" s="103"/>
      <c r="R62" s="103"/>
      <c r="S62" s="103"/>
      <c r="T62" s="104"/>
    </row>
    <row r="63" spans="2:27" ht="15.75" thickBot="1" x14ac:dyDescent="0.25">
      <c r="B63" s="121">
        <f>N5</f>
        <v>46164</v>
      </c>
      <c r="C63" s="122"/>
      <c r="D63" s="110"/>
      <c r="E63" s="110"/>
      <c r="F63" s="110"/>
      <c r="G63" s="111"/>
      <c r="H63" s="121">
        <f>N5</f>
        <v>46164</v>
      </c>
      <c r="I63" s="122"/>
      <c r="J63" s="110"/>
      <c r="K63" s="110"/>
      <c r="L63" s="110"/>
      <c r="M63" s="111"/>
      <c r="N63" s="112"/>
      <c r="O63" s="113"/>
      <c r="P63" s="105"/>
      <c r="Q63" s="106"/>
      <c r="R63" s="106"/>
      <c r="S63" s="106"/>
      <c r="T63" s="107"/>
    </row>
    <row r="64" spans="2:27" x14ac:dyDescent="0.2">
      <c r="B64" s="6" t="s">
        <v>4</v>
      </c>
      <c r="C64" s="7"/>
      <c r="D64" s="7"/>
      <c r="E64" s="8"/>
      <c r="F64" s="8"/>
      <c r="G64" s="8"/>
      <c r="H64" s="8"/>
      <c r="I64" s="8"/>
      <c r="J64" s="9"/>
      <c r="K64" s="9"/>
      <c r="L64" s="9"/>
      <c r="M64" s="9"/>
      <c r="N64" s="9"/>
      <c r="O64" s="10"/>
      <c r="P64" s="10"/>
      <c r="Q64" s="10"/>
      <c r="R64" s="10"/>
      <c r="S64" s="10"/>
      <c r="T64" s="11"/>
    </row>
    <row r="65" spans="2:20" x14ac:dyDescent="0.2">
      <c r="B65" s="12"/>
      <c r="C65" s="13"/>
      <c r="D65" s="13"/>
      <c r="E65" s="8"/>
      <c r="F65" s="8"/>
      <c r="G65" s="8"/>
      <c r="H65" s="8"/>
      <c r="I65" s="8"/>
      <c r="J65" s="9"/>
      <c r="K65" s="9"/>
      <c r="L65" s="9"/>
      <c r="M65" s="9"/>
      <c r="N65" s="9"/>
      <c r="O65" s="10"/>
      <c r="P65" s="10"/>
      <c r="Q65" s="10"/>
      <c r="R65" s="10"/>
      <c r="S65" s="10"/>
      <c r="T65" s="11"/>
    </row>
    <row r="66" spans="2:20" x14ac:dyDescent="0.2">
      <c r="B66" s="14"/>
      <c r="C66" s="15"/>
      <c r="D66" s="15"/>
      <c r="E66" s="8"/>
      <c r="F66" s="8"/>
      <c r="G66" s="8"/>
      <c r="H66" s="8"/>
      <c r="I66" s="8"/>
      <c r="J66" s="9"/>
      <c r="K66" s="9"/>
      <c r="L66" s="9"/>
      <c r="M66" s="9"/>
      <c r="N66" s="9"/>
      <c r="O66" s="10"/>
      <c r="P66" s="10"/>
      <c r="Q66" s="10"/>
      <c r="R66" s="10"/>
      <c r="S66" s="10"/>
      <c r="T66" s="11"/>
    </row>
    <row r="67" spans="2:20" ht="15.75" thickBot="1" x14ac:dyDescent="0.25">
      <c r="B67" s="16"/>
      <c r="C67" s="17"/>
      <c r="D67" s="17"/>
      <c r="E67" s="18"/>
      <c r="F67" s="18"/>
      <c r="G67" s="18"/>
      <c r="H67" s="18"/>
      <c r="I67" s="18"/>
      <c r="J67" s="19"/>
      <c r="K67" s="19"/>
      <c r="L67" s="19"/>
      <c r="M67" s="19"/>
      <c r="N67" s="19"/>
      <c r="O67" s="20"/>
      <c r="P67" s="20"/>
      <c r="Q67" s="20"/>
      <c r="R67" s="20"/>
      <c r="S67" s="20"/>
      <c r="T67" s="21"/>
    </row>
    <row r="136" spans="14:14" x14ac:dyDescent="0.2">
      <c r="N136" s="5">
        <f>AA241</f>
        <v>0</v>
      </c>
    </row>
  </sheetData>
  <mergeCells count="138">
    <mergeCell ref="I2:N3"/>
    <mergeCell ref="O2:Q3"/>
    <mergeCell ref="R2:T3"/>
    <mergeCell ref="B4:E4"/>
    <mergeCell ref="F4:T4"/>
    <mergeCell ref="B5:D5"/>
    <mergeCell ref="F5:G5"/>
    <mergeCell ref="H5:I5"/>
    <mergeCell ref="J5:K5"/>
    <mergeCell ref="L5:M5"/>
    <mergeCell ref="N5:P5"/>
    <mergeCell ref="Q5:R5"/>
    <mergeCell ref="S5:T5"/>
    <mergeCell ref="B6:D6"/>
    <mergeCell ref="E6:T6"/>
    <mergeCell ref="B7:D7"/>
    <mergeCell ref="E7:G7"/>
    <mergeCell ref="H7:L7"/>
    <mergeCell ref="M7:N7"/>
    <mergeCell ref="O7:R7"/>
    <mergeCell ref="S7:T7"/>
    <mergeCell ref="AE7:AI7"/>
    <mergeCell ref="AJ7:AK7"/>
    <mergeCell ref="B8:D8"/>
    <mergeCell ref="E8:G8"/>
    <mergeCell ref="H8:L8"/>
    <mergeCell ref="M8:N8"/>
    <mergeCell ref="O8:R8"/>
    <mergeCell ref="S8:T8"/>
    <mergeCell ref="V8:Z8"/>
    <mergeCell ref="AA8:AB8"/>
    <mergeCell ref="AE8:AI8"/>
    <mergeCell ref="AJ8:AK8"/>
    <mergeCell ref="B9:D9"/>
    <mergeCell ref="E9:G9"/>
    <mergeCell ref="H9:L9"/>
    <mergeCell ref="M9:N9"/>
    <mergeCell ref="O9:R9"/>
    <mergeCell ref="S9:T9"/>
    <mergeCell ref="B12:D12"/>
    <mergeCell ref="E12:G12"/>
    <mergeCell ref="H12:L12"/>
    <mergeCell ref="M12:N12"/>
    <mergeCell ref="O12:R12"/>
    <mergeCell ref="S12:T12"/>
    <mergeCell ref="B10:D11"/>
    <mergeCell ref="E10:G11"/>
    <mergeCell ref="H10:L10"/>
    <mergeCell ref="M10:N10"/>
    <mergeCell ref="O10:R10"/>
    <mergeCell ref="S10:T10"/>
    <mergeCell ref="H11:L11"/>
    <mergeCell ref="M11:N11"/>
    <mergeCell ref="O11:R11"/>
    <mergeCell ref="S11:T11"/>
    <mergeCell ref="B14:D14"/>
    <mergeCell ref="E14:G14"/>
    <mergeCell ref="H14:L14"/>
    <mergeCell ref="M14:N14"/>
    <mergeCell ref="O14:R14"/>
    <mergeCell ref="S14:T14"/>
    <mergeCell ref="B13:D13"/>
    <mergeCell ref="E13:G13"/>
    <mergeCell ref="H13:L13"/>
    <mergeCell ref="M13:N13"/>
    <mergeCell ref="O13:R13"/>
    <mergeCell ref="S13:T13"/>
    <mergeCell ref="V15:Y15"/>
    <mergeCell ref="B16:D16"/>
    <mergeCell ref="E16:G16"/>
    <mergeCell ref="H16:L16"/>
    <mergeCell ref="M16:N16"/>
    <mergeCell ref="O16:R16"/>
    <mergeCell ref="S16:T16"/>
    <mergeCell ref="B15:D15"/>
    <mergeCell ref="E15:G15"/>
    <mergeCell ref="H15:L15"/>
    <mergeCell ref="M15:N15"/>
    <mergeCell ref="O15:R15"/>
    <mergeCell ref="S15:T15"/>
    <mergeCell ref="B18:D18"/>
    <mergeCell ref="E18:G18"/>
    <mergeCell ref="H18:L18"/>
    <mergeCell ref="M18:N18"/>
    <mergeCell ref="O18:R18"/>
    <mergeCell ref="S18:T18"/>
    <mergeCell ref="B17:D17"/>
    <mergeCell ref="E17:G17"/>
    <mergeCell ref="H17:L17"/>
    <mergeCell ref="M17:N17"/>
    <mergeCell ref="O17:R17"/>
    <mergeCell ref="S17:T17"/>
    <mergeCell ref="V23:X23"/>
    <mergeCell ref="Z23:AA23"/>
    <mergeCell ref="B30:M30"/>
    <mergeCell ref="B32:M32"/>
    <mergeCell ref="B33:M33"/>
    <mergeCell ref="B35:M36"/>
    <mergeCell ref="B19:M20"/>
    <mergeCell ref="N19:R19"/>
    <mergeCell ref="S19:T19"/>
    <mergeCell ref="N20:R20"/>
    <mergeCell ref="S20:T20"/>
    <mergeCell ref="N22:T23"/>
    <mergeCell ref="B54:F54"/>
    <mergeCell ref="G54:M54"/>
    <mergeCell ref="B55:F55"/>
    <mergeCell ref="G55:M55"/>
    <mergeCell ref="B56:F56"/>
    <mergeCell ref="G56:M56"/>
    <mergeCell ref="B49:M50"/>
    <mergeCell ref="B51:F51"/>
    <mergeCell ref="G51:M51"/>
    <mergeCell ref="B52:F52"/>
    <mergeCell ref="G52:M52"/>
    <mergeCell ref="B53:F53"/>
    <mergeCell ref="G53:M53"/>
    <mergeCell ref="B60:G60"/>
    <mergeCell ref="H60:M60"/>
    <mergeCell ref="N60:T60"/>
    <mergeCell ref="B61:G61"/>
    <mergeCell ref="H61:M61"/>
    <mergeCell ref="N61:T61"/>
    <mergeCell ref="B57:F57"/>
    <mergeCell ref="G57:M57"/>
    <mergeCell ref="B58:F58"/>
    <mergeCell ref="G58:M58"/>
    <mergeCell ref="B59:F59"/>
    <mergeCell ref="G59:M59"/>
    <mergeCell ref="B62:C62"/>
    <mergeCell ref="D62:G63"/>
    <mergeCell ref="H62:I62"/>
    <mergeCell ref="J62:M63"/>
    <mergeCell ref="N62:O62"/>
    <mergeCell ref="P62:T63"/>
    <mergeCell ref="B63:C63"/>
    <mergeCell ref="H63:I63"/>
    <mergeCell ref="N63:O6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4" orientation="portrait" r:id="rId1"/>
  <headerFooter alignWithMargins="0"/>
  <colBreaks count="1" manualBreakCount="1">
    <brk id="2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4318-DA1A-410A-9518-C3054AD6B2E8}">
  <dimension ref="B1:AK136"/>
  <sheetViews>
    <sheetView tabSelected="1" zoomScaleNormal="100" zoomScaleSheetLayoutView="55" workbookViewId="0">
      <selection activeCell="M9" sqref="M9:N9"/>
    </sheetView>
  </sheetViews>
  <sheetFormatPr defaultRowHeight="15" x14ac:dyDescent="0.2"/>
  <cols>
    <col min="1" max="1" width="0.77734375" style="5" customWidth="1"/>
    <col min="2" max="2" width="4.77734375" style="5" customWidth="1"/>
    <col min="3" max="3" width="5.21875" style="5" customWidth="1"/>
    <col min="4" max="4" width="6.44140625" style="5" customWidth="1"/>
    <col min="5" max="5" width="4.5546875" style="5" customWidth="1"/>
    <col min="6" max="6" width="6.33203125" style="5" customWidth="1"/>
    <col min="7" max="7" width="4.33203125" style="5" customWidth="1"/>
    <col min="8" max="8" width="4.88671875" style="5" customWidth="1"/>
    <col min="9" max="11" width="5.21875" style="5" customWidth="1"/>
    <col min="12" max="12" width="5.6640625" style="5" customWidth="1"/>
    <col min="13" max="13" width="5.5546875" style="5" customWidth="1"/>
    <col min="14" max="14" width="3.6640625" style="5" customWidth="1"/>
    <col min="15" max="15" width="5.21875" style="5" customWidth="1"/>
    <col min="16" max="16" width="4.77734375" style="5" customWidth="1"/>
    <col min="17" max="17" width="4.6640625" style="5" customWidth="1"/>
    <col min="18" max="18" width="7" style="5" customWidth="1"/>
    <col min="19" max="19" width="4.88671875" style="5" customWidth="1"/>
    <col min="20" max="20" width="3.77734375" style="5" customWidth="1"/>
    <col min="21" max="21" width="5.77734375" style="47" customWidth="1"/>
    <col min="22" max="22" width="17" style="47" bestFit="1" customWidth="1"/>
    <col min="23" max="23" width="18.88671875" style="47" bestFit="1" customWidth="1"/>
    <col min="24" max="24" width="11.44140625" style="47" bestFit="1" customWidth="1"/>
    <col min="25" max="25" width="7" style="47" bestFit="1" customWidth="1"/>
    <col min="26" max="26" width="25" style="47" bestFit="1" customWidth="1"/>
    <col min="27" max="27" width="15.21875" style="47" bestFit="1" customWidth="1"/>
    <col min="28" max="28" width="5.44140625" style="47" bestFit="1" customWidth="1"/>
    <col min="29" max="29" width="2" style="47" bestFit="1" customWidth="1"/>
    <col min="30" max="30" width="8.88671875" style="47"/>
    <col min="31" max="16384" width="8.88671875" style="5"/>
  </cols>
  <sheetData>
    <row r="1" spans="2:37" ht="5.25" customHeight="1" thickBot="1" x14ac:dyDescent="0.25">
      <c r="M1" s="5" t="s">
        <v>15</v>
      </c>
    </row>
    <row r="2" spans="2:37" ht="39" customHeight="1" x14ac:dyDescent="0.2">
      <c r="B2" s="22"/>
      <c r="C2" s="23"/>
      <c r="D2" s="23"/>
      <c r="E2" s="23"/>
      <c r="F2" s="23"/>
      <c r="G2" s="23"/>
      <c r="H2" s="23"/>
      <c r="I2" s="183" t="s">
        <v>6</v>
      </c>
      <c r="J2" s="183"/>
      <c r="K2" s="183"/>
      <c r="L2" s="183"/>
      <c r="M2" s="183"/>
      <c r="N2" s="183"/>
      <c r="O2" s="198" t="s">
        <v>102</v>
      </c>
      <c r="P2" s="198"/>
      <c r="Q2" s="198"/>
      <c r="R2" s="171" t="s">
        <v>117</v>
      </c>
      <c r="S2" s="171"/>
      <c r="T2" s="172"/>
    </row>
    <row r="3" spans="2:37" ht="13.5" customHeight="1" x14ac:dyDescent="0.2">
      <c r="B3" s="29"/>
      <c r="C3" s="30"/>
      <c r="D3" s="30"/>
      <c r="E3" s="30"/>
      <c r="F3" s="30"/>
      <c r="G3" s="30"/>
      <c r="H3" s="30"/>
      <c r="I3" s="184"/>
      <c r="J3" s="184"/>
      <c r="K3" s="184"/>
      <c r="L3" s="184"/>
      <c r="M3" s="184"/>
      <c r="N3" s="184"/>
      <c r="O3" s="199"/>
      <c r="P3" s="199"/>
      <c r="Q3" s="199"/>
      <c r="R3" s="173"/>
      <c r="S3" s="173"/>
      <c r="T3" s="174"/>
    </row>
    <row r="4" spans="2:37" s="24" customFormat="1" ht="13.5" customHeight="1" x14ac:dyDescent="0.2">
      <c r="B4" s="185" t="s">
        <v>0</v>
      </c>
      <c r="C4" s="186"/>
      <c r="D4" s="186"/>
      <c r="E4" s="187"/>
      <c r="F4" s="188" t="s">
        <v>30</v>
      </c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 spans="2:37" s="25" customFormat="1" ht="13.5" customHeight="1" x14ac:dyDescent="0.2">
      <c r="B5" s="185" t="s">
        <v>118</v>
      </c>
      <c r="C5" s="186"/>
      <c r="D5" s="186"/>
      <c r="E5" s="186"/>
      <c r="F5" s="186"/>
      <c r="G5" s="187"/>
      <c r="H5" s="180" t="str">
        <f>V16</f>
        <v>-</v>
      </c>
      <c r="I5" s="181"/>
      <c r="J5" s="180" t="str">
        <f>W16</f>
        <v>-</v>
      </c>
      <c r="K5" s="181"/>
      <c r="L5" s="195" t="s">
        <v>1</v>
      </c>
      <c r="M5" s="196"/>
      <c r="N5" s="177" t="str">
        <f>AA24</f>
        <v>-</v>
      </c>
      <c r="O5" s="178"/>
      <c r="P5" s="179"/>
      <c r="Q5" s="200" t="s">
        <v>5</v>
      </c>
      <c r="R5" s="201"/>
      <c r="S5" s="191">
        <f>AA25</f>
        <v>0.5</v>
      </c>
      <c r="T5" s="192"/>
      <c r="U5" s="49"/>
      <c r="Z5" s="49"/>
      <c r="AA5" s="49"/>
      <c r="AB5" s="49"/>
      <c r="AC5" s="49"/>
      <c r="AD5" s="49"/>
    </row>
    <row r="6" spans="2:37" s="25" customFormat="1" ht="13.5" customHeight="1" x14ac:dyDescent="0.2">
      <c r="B6" s="99" t="s">
        <v>27</v>
      </c>
      <c r="C6" s="79"/>
      <c r="D6" s="80"/>
      <c r="E6" s="203" t="str">
        <f>AA46</f>
        <v>-</v>
      </c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5"/>
      <c r="U6" s="49"/>
      <c r="Z6" s="49"/>
      <c r="AA6" s="49"/>
      <c r="AB6" s="49"/>
      <c r="AC6" s="49"/>
      <c r="AD6" s="49"/>
    </row>
    <row r="7" spans="2:37" s="25" customFormat="1" ht="13.5" customHeight="1" x14ac:dyDescent="0.2">
      <c r="B7" s="139" t="s">
        <v>23</v>
      </c>
      <c r="C7" s="100"/>
      <c r="D7" s="100"/>
      <c r="E7" s="202" t="str">
        <f>AA26</f>
        <v>-</v>
      </c>
      <c r="F7" s="202"/>
      <c r="G7" s="202"/>
      <c r="H7" s="100" t="s">
        <v>14</v>
      </c>
      <c r="I7" s="100"/>
      <c r="J7" s="100"/>
      <c r="K7" s="100"/>
      <c r="L7" s="100"/>
      <c r="M7" s="212" t="str">
        <f>AA29</f>
        <v>REG</v>
      </c>
      <c r="N7" s="212"/>
      <c r="O7" s="78" t="s">
        <v>31</v>
      </c>
      <c r="P7" s="79"/>
      <c r="Q7" s="79"/>
      <c r="R7" s="80"/>
      <c r="S7" s="175" t="str">
        <f>AA31</f>
        <v>Não informado</v>
      </c>
      <c r="T7" s="176"/>
      <c r="U7" s="49"/>
      <c r="V7" s="56"/>
      <c r="W7" s="50"/>
      <c r="X7" s="50"/>
      <c r="Y7" s="50"/>
      <c r="Z7" s="50"/>
      <c r="AA7" s="50"/>
      <c r="AB7" s="57"/>
      <c r="AC7" s="49"/>
      <c r="AD7" s="49"/>
      <c r="AE7" s="100" t="s">
        <v>95</v>
      </c>
      <c r="AF7" s="100"/>
      <c r="AG7" s="100"/>
      <c r="AH7" s="100"/>
      <c r="AI7" s="100"/>
      <c r="AJ7" s="101" t="e">
        <f>AB10/AB6</f>
        <v>#DIV/0!</v>
      </c>
      <c r="AK7" s="101"/>
    </row>
    <row r="8" spans="2:37" s="25" customFormat="1" ht="13.5" customHeight="1" x14ac:dyDescent="0.2">
      <c r="B8" s="139" t="s">
        <v>2</v>
      </c>
      <c r="C8" s="100"/>
      <c r="D8" s="100"/>
      <c r="E8" s="182" t="str">
        <f>AA48</f>
        <v>-</v>
      </c>
      <c r="F8" s="182"/>
      <c r="G8" s="182"/>
      <c r="H8" s="100" t="s">
        <v>94</v>
      </c>
      <c r="I8" s="100"/>
      <c r="J8" s="100"/>
      <c r="K8" s="100"/>
      <c r="L8" s="100"/>
      <c r="M8" s="197">
        <f>AA30</f>
        <v>4</v>
      </c>
      <c r="N8" s="197"/>
      <c r="O8" s="78" t="s">
        <v>32</v>
      </c>
      <c r="P8" s="79"/>
      <c r="Q8" s="79"/>
      <c r="R8" s="80"/>
      <c r="S8" s="175" t="str">
        <f>AA32</f>
        <v>-</v>
      </c>
      <c r="T8" s="176"/>
      <c r="U8" s="49"/>
      <c r="V8" s="129" t="e">
        <f>PI()*($M$8*25.4)^2/4/1000*(#REF!)</f>
        <v>#REF!</v>
      </c>
      <c r="W8" s="130"/>
      <c r="X8" s="130"/>
      <c r="Y8" s="130"/>
      <c r="Z8" s="130"/>
      <c r="AA8" s="127" t="e">
        <f>PI()*(S20*25.4)^2/4/1000*($S$13)*1.7</f>
        <v>#VALUE!</v>
      </c>
      <c r="AB8" s="128"/>
      <c r="AC8" s="49"/>
      <c r="AD8" s="49"/>
      <c r="AE8" s="100" t="s">
        <v>85</v>
      </c>
      <c r="AF8" s="100"/>
      <c r="AG8" s="100"/>
      <c r="AH8" s="100"/>
      <c r="AI8" s="100"/>
      <c r="AJ8" s="76" t="e">
        <f>AJ7-AJ15</f>
        <v>#DIV/0!</v>
      </c>
      <c r="AK8" s="76"/>
    </row>
    <row r="9" spans="2:37" s="25" customFormat="1" ht="13.5" customHeight="1" x14ac:dyDescent="0.2">
      <c r="B9" s="139" t="s">
        <v>90</v>
      </c>
      <c r="C9" s="100"/>
      <c r="D9" s="100"/>
      <c r="E9" s="76" t="s">
        <v>10</v>
      </c>
      <c r="F9" s="76"/>
      <c r="G9" s="76"/>
      <c r="H9" s="77"/>
      <c r="I9" s="77"/>
      <c r="J9" s="77"/>
      <c r="K9" s="77"/>
      <c r="L9" s="77"/>
      <c r="M9" s="170"/>
      <c r="N9" s="170"/>
      <c r="O9" s="131"/>
      <c r="P9" s="132"/>
      <c r="Q9" s="132"/>
      <c r="R9" s="133"/>
      <c r="S9" s="213"/>
      <c r="T9" s="214"/>
      <c r="U9" s="49"/>
      <c r="V9" s="49"/>
      <c r="W9" s="49"/>
      <c r="X9" s="49"/>
      <c r="Y9" s="49"/>
      <c r="Z9" s="49"/>
      <c r="AA9" s="49"/>
      <c r="AB9" s="49"/>
      <c r="AC9" s="49"/>
      <c r="AD9" s="49"/>
    </row>
    <row r="10" spans="2:37" s="25" customFormat="1" ht="13.5" customHeight="1" x14ac:dyDescent="0.2">
      <c r="B10" s="158" t="s">
        <v>91</v>
      </c>
      <c r="C10" s="159"/>
      <c r="D10" s="160"/>
      <c r="E10" s="164" t="str">
        <f>AA27</f>
        <v>-</v>
      </c>
      <c r="F10" s="165"/>
      <c r="G10" s="166"/>
      <c r="H10" s="77"/>
      <c r="I10" s="77"/>
      <c r="J10" s="77"/>
      <c r="K10" s="77"/>
      <c r="L10" s="77"/>
      <c r="M10" s="211"/>
      <c r="N10" s="211"/>
      <c r="O10" s="78" t="s">
        <v>114</v>
      </c>
      <c r="P10" s="79"/>
      <c r="Q10" s="79"/>
      <c r="R10" s="80"/>
      <c r="S10" s="147" t="s">
        <v>10</v>
      </c>
      <c r="T10" s="148"/>
      <c r="U10" s="49"/>
      <c r="V10" s="49"/>
      <c r="W10" s="49"/>
      <c r="X10" s="49"/>
      <c r="Y10" s="49"/>
      <c r="Z10" s="49"/>
      <c r="AA10" s="49"/>
      <c r="AB10" s="49"/>
      <c r="AC10" s="49"/>
      <c r="AD10" s="49"/>
    </row>
    <row r="11" spans="2:37" s="25" customFormat="1" ht="13.5" customHeight="1" x14ac:dyDescent="0.2">
      <c r="B11" s="161"/>
      <c r="C11" s="162"/>
      <c r="D11" s="163"/>
      <c r="E11" s="167"/>
      <c r="F11" s="168"/>
      <c r="G11" s="169"/>
      <c r="H11" s="100" t="s">
        <v>96</v>
      </c>
      <c r="I11" s="100"/>
      <c r="J11" s="100"/>
      <c r="K11" s="100"/>
      <c r="L11" s="100"/>
      <c r="M11" s="153" t="s">
        <v>38</v>
      </c>
      <c r="N11" s="153"/>
      <c r="O11" s="78" t="s">
        <v>100</v>
      </c>
      <c r="P11" s="79"/>
      <c r="Q11" s="79"/>
      <c r="R11" s="80"/>
      <c r="S11" s="206" t="s">
        <v>10</v>
      </c>
      <c r="T11" s="207"/>
      <c r="U11" s="49"/>
    </row>
    <row r="12" spans="2:37" s="25" customFormat="1" ht="13.5" customHeight="1" x14ac:dyDescent="0.2">
      <c r="B12" s="118" t="str">
        <f>Z37</f>
        <v>Ibegel 2" x 16"</v>
      </c>
      <c r="C12" s="119"/>
      <c r="D12" s="120"/>
      <c r="E12" s="219" t="e">
        <f>IF($S$20=$X$18,$E$8*AA47,AA37)</f>
        <v>#VALUE!</v>
      </c>
      <c r="F12" s="220"/>
      <c r="G12" s="221"/>
      <c r="H12" s="100" t="s">
        <v>97</v>
      </c>
      <c r="I12" s="100"/>
      <c r="J12" s="100"/>
      <c r="K12" s="100"/>
      <c r="L12" s="100"/>
      <c r="M12" s="210" t="e">
        <f>E12</f>
        <v>#VALUE!</v>
      </c>
      <c r="N12" s="210"/>
      <c r="O12" s="78" t="s">
        <v>103</v>
      </c>
      <c r="P12" s="79"/>
      <c r="Q12" s="79"/>
      <c r="R12" s="80"/>
      <c r="S12" s="208" t="str">
        <f>AA35</f>
        <v>-</v>
      </c>
      <c r="T12" s="209"/>
      <c r="U12" s="49"/>
    </row>
    <row r="13" spans="2:37" s="25" customFormat="1" ht="13.5" customHeight="1" x14ac:dyDescent="0.2">
      <c r="B13" s="118" t="s">
        <v>92</v>
      </c>
      <c r="C13" s="119"/>
      <c r="D13" s="120"/>
      <c r="E13" s="219">
        <f>AA28</f>
        <v>0.45</v>
      </c>
      <c r="F13" s="220"/>
      <c r="G13" s="221"/>
      <c r="H13" s="77"/>
      <c r="I13" s="77"/>
      <c r="J13" s="77"/>
      <c r="K13" s="77"/>
      <c r="L13" s="77"/>
      <c r="M13" s="97"/>
      <c r="N13" s="98"/>
      <c r="O13" s="149" t="s">
        <v>101</v>
      </c>
      <c r="P13" s="150"/>
      <c r="Q13" s="150"/>
      <c r="R13" s="126"/>
      <c r="S13" s="215">
        <v>1.1499999999999999</v>
      </c>
      <c r="T13" s="216"/>
      <c r="U13" s="49"/>
      <c r="V13" s="49"/>
      <c r="W13" s="49"/>
      <c r="X13" s="49"/>
      <c r="Y13" s="49"/>
    </row>
    <row r="14" spans="2:37" s="25" customFormat="1" ht="13.5" customHeight="1" x14ac:dyDescent="0.2">
      <c r="B14" s="99" t="str">
        <f>Z41</f>
        <v>BRITACORD NP 05 BR</v>
      </c>
      <c r="C14" s="79"/>
      <c r="D14" s="80"/>
      <c r="E14" s="136" t="str">
        <f>IF($S$20=$X$18,"-",AA41)</f>
        <v>-</v>
      </c>
      <c r="F14" s="137"/>
      <c r="G14" s="138"/>
      <c r="H14" s="96"/>
      <c r="I14" s="96"/>
      <c r="J14" s="96"/>
      <c r="K14" s="96"/>
      <c r="L14" s="96"/>
      <c r="M14" s="230"/>
      <c r="N14" s="231"/>
      <c r="O14" s="131"/>
      <c r="P14" s="132"/>
      <c r="Q14" s="132"/>
      <c r="R14" s="133"/>
      <c r="S14" s="134"/>
      <c r="T14" s="135"/>
      <c r="U14" s="49"/>
      <c r="V14" s="49"/>
      <c r="W14" s="49"/>
      <c r="X14" s="49"/>
      <c r="Y14" s="49"/>
    </row>
    <row r="15" spans="2:37" s="25" customFormat="1" ht="13.5" customHeight="1" x14ac:dyDescent="0.2">
      <c r="B15" s="99" t="str">
        <f>Z42</f>
        <v>BRITACORD NP 10 BR</v>
      </c>
      <c r="C15" s="79"/>
      <c r="D15" s="80"/>
      <c r="E15" s="222" t="str">
        <f>IF($S$20=$X$18,"-",AA42)</f>
        <v>-</v>
      </c>
      <c r="F15" s="223"/>
      <c r="G15" s="224"/>
      <c r="H15" s="96"/>
      <c r="I15" s="96"/>
      <c r="J15" s="96"/>
      <c r="K15" s="96"/>
      <c r="L15" s="96"/>
      <c r="M15" s="193"/>
      <c r="N15" s="194"/>
      <c r="O15" s="131"/>
      <c r="P15" s="132"/>
      <c r="Q15" s="132"/>
      <c r="R15" s="133"/>
      <c r="S15" s="134"/>
      <c r="T15" s="135"/>
      <c r="U15" s="49"/>
      <c r="V15" s="244" t="s">
        <v>28</v>
      </c>
      <c r="W15" s="245"/>
    </row>
    <row r="16" spans="2:37" s="25" customFormat="1" ht="13.5" customHeight="1" x14ac:dyDescent="0.2">
      <c r="B16" s="99" t="str">
        <f>Z43</f>
        <v>BRITACORD NP 40 BR</v>
      </c>
      <c r="C16" s="79"/>
      <c r="D16" s="80"/>
      <c r="E16" s="136" t="str">
        <f>IF($S$20=$X$18,"-",AA43)</f>
        <v>-</v>
      </c>
      <c r="F16" s="137"/>
      <c r="G16" s="138"/>
      <c r="H16" s="78" t="s">
        <v>7</v>
      </c>
      <c r="I16" s="79"/>
      <c r="J16" s="79"/>
      <c r="K16" s="79"/>
      <c r="L16" s="80"/>
      <c r="M16" s="225" t="s">
        <v>10</v>
      </c>
      <c r="N16" s="76"/>
      <c r="O16" s="241" t="s">
        <v>24</v>
      </c>
      <c r="P16" s="242"/>
      <c r="Q16" s="242"/>
      <c r="R16" s="243"/>
      <c r="S16" s="217" t="s">
        <v>38</v>
      </c>
      <c r="T16" s="218"/>
      <c r="U16" s="49"/>
      <c r="V16" s="51" t="s">
        <v>10</v>
      </c>
      <c r="W16" s="48" t="s">
        <v>10</v>
      </c>
      <c r="X16" s="49"/>
      <c r="Z16" s="49"/>
      <c r="AA16" s="49"/>
      <c r="AB16" s="49"/>
      <c r="AC16" s="49"/>
      <c r="AD16" s="49"/>
    </row>
    <row r="17" spans="2:30" s="25" customFormat="1" ht="13.5" customHeight="1" x14ac:dyDescent="0.2">
      <c r="B17" s="158" t="str">
        <f>Z44</f>
        <v>BRITACORD NP 60 BR</v>
      </c>
      <c r="C17" s="159"/>
      <c r="D17" s="160"/>
      <c r="E17" s="238" t="str">
        <f>IF($S$20=$X$18,"-",AA44)</f>
        <v>-</v>
      </c>
      <c r="F17" s="239"/>
      <c r="G17" s="240"/>
      <c r="H17" s="78" t="s">
        <v>120</v>
      </c>
      <c r="I17" s="79"/>
      <c r="J17" s="79"/>
      <c r="K17" s="79"/>
      <c r="L17" s="80"/>
      <c r="M17" s="226" t="str">
        <f>AA38</f>
        <v>-</v>
      </c>
      <c r="N17" s="227"/>
      <c r="O17" s="241" t="s">
        <v>8</v>
      </c>
      <c r="P17" s="242"/>
      <c r="Q17" s="242"/>
      <c r="R17" s="243"/>
      <c r="S17" s="228" t="s">
        <v>38</v>
      </c>
      <c r="T17" s="229"/>
      <c r="U17" s="49"/>
      <c r="Z17" s="49"/>
      <c r="AA17" s="49"/>
      <c r="AB17" s="49"/>
      <c r="AC17" s="49"/>
      <c r="AD17" s="49"/>
    </row>
    <row r="18" spans="2:30" s="25" customFormat="1" ht="13.5" customHeight="1" thickBot="1" x14ac:dyDescent="0.25">
      <c r="B18" s="158" t="s">
        <v>122</v>
      </c>
      <c r="C18" s="159"/>
      <c r="D18" s="160"/>
      <c r="E18" s="246" t="str">
        <f>AA40</f>
        <v>-</v>
      </c>
      <c r="F18" s="247"/>
      <c r="G18" s="248"/>
      <c r="H18" s="78" t="s">
        <v>121</v>
      </c>
      <c r="I18" s="79"/>
      <c r="J18" s="79"/>
      <c r="K18" s="79"/>
      <c r="L18" s="80"/>
      <c r="M18" s="226" t="str">
        <f>AA39</f>
        <v>-</v>
      </c>
      <c r="N18" s="227"/>
      <c r="O18" s="232" t="s">
        <v>11</v>
      </c>
      <c r="P18" s="233"/>
      <c r="Q18" s="233"/>
      <c r="R18" s="234"/>
      <c r="S18" s="217" t="s">
        <v>38</v>
      </c>
      <c r="T18" s="218"/>
      <c r="U18" s="49"/>
      <c r="V18" s="61" t="s">
        <v>44</v>
      </c>
      <c r="W18" s="62" t="s">
        <v>45</v>
      </c>
      <c r="X18" s="63" t="s">
        <v>46</v>
      </c>
      <c r="Z18" s="49"/>
      <c r="AA18" s="49"/>
      <c r="AB18" s="49"/>
      <c r="AC18" s="49"/>
      <c r="AD18" s="49"/>
    </row>
    <row r="19" spans="2:30" s="24" customFormat="1" x14ac:dyDescent="0.2">
      <c r="B19" s="90" t="s">
        <v>17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2"/>
      <c r="N19" s="151" t="s">
        <v>116</v>
      </c>
      <c r="O19" s="152"/>
      <c r="P19" s="152"/>
      <c r="Q19" s="152"/>
      <c r="R19" s="152"/>
      <c r="S19" s="76" t="s">
        <v>10</v>
      </c>
      <c r="T19" s="251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spans="2:30" s="24" customFormat="1" ht="13.5" customHeight="1" thickBot="1" x14ac:dyDescent="0.25"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7"/>
      <c r="N20" s="151" t="s">
        <v>43</v>
      </c>
      <c r="O20" s="152"/>
      <c r="P20" s="152"/>
      <c r="Q20" s="152"/>
      <c r="R20" s="152"/>
      <c r="S20" s="182" t="str">
        <f>X18</f>
        <v>Previsto</v>
      </c>
      <c r="T20" s="252"/>
      <c r="U20" s="47"/>
      <c r="Y20" s="47"/>
      <c r="AD20" s="47"/>
    </row>
    <row r="21" spans="2:30" ht="6" hidden="1" customHeight="1" x14ac:dyDescent="0.2">
      <c r="B21" s="33" t="s">
        <v>20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9"/>
      <c r="O21" s="39"/>
      <c r="P21" s="39"/>
      <c r="Q21" s="39"/>
      <c r="R21" s="39"/>
      <c r="S21" s="39"/>
      <c r="T21" s="40"/>
    </row>
    <row r="22" spans="2:30" ht="12" customHeight="1" x14ac:dyDescent="0.2">
      <c r="B22" s="33" t="s">
        <v>19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90" t="s">
        <v>25</v>
      </c>
      <c r="O22" s="91"/>
      <c r="P22" s="91"/>
      <c r="Q22" s="91"/>
      <c r="R22" s="91"/>
      <c r="S22" s="91"/>
      <c r="T22" s="92"/>
    </row>
    <row r="23" spans="2:30" ht="12" customHeight="1" thickBot="1" x14ac:dyDescent="0.25"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93"/>
      <c r="O23" s="94"/>
      <c r="P23" s="94"/>
      <c r="Q23" s="94"/>
      <c r="R23" s="94"/>
      <c r="S23" s="94"/>
      <c r="T23" s="95"/>
      <c r="V23" s="250" t="s">
        <v>83</v>
      </c>
      <c r="W23" s="250"/>
      <c r="X23" s="250"/>
      <c r="Z23" s="249" t="s">
        <v>82</v>
      </c>
      <c r="AA23" s="249"/>
    </row>
    <row r="24" spans="2:30" ht="12" customHeight="1" x14ac:dyDescent="0.2"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6"/>
      <c r="O24" s="27"/>
      <c r="P24" s="27"/>
      <c r="Q24" s="27"/>
      <c r="R24" s="27"/>
      <c r="S24" s="27"/>
      <c r="T24" s="28"/>
      <c r="V24" s="64" t="s">
        <v>42</v>
      </c>
      <c r="W24" s="65" t="s">
        <v>47</v>
      </c>
      <c r="X24" s="66">
        <v>14.4</v>
      </c>
      <c r="Z24" s="59" t="s">
        <v>1</v>
      </c>
      <c r="AA24" s="75" t="s">
        <v>10</v>
      </c>
    </row>
    <row r="25" spans="2:30" ht="12" customHeight="1" x14ac:dyDescent="0.2">
      <c r="B25" s="33" t="s">
        <v>35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5"/>
      <c r="N25" s="26"/>
      <c r="O25" s="27"/>
      <c r="P25" s="27"/>
      <c r="Q25" s="27"/>
      <c r="R25" s="27"/>
      <c r="S25" s="27"/>
      <c r="T25" s="28"/>
      <c r="V25" s="64" t="s">
        <v>74</v>
      </c>
      <c r="W25" s="65" t="s">
        <v>47</v>
      </c>
      <c r="X25" s="66">
        <v>10.86</v>
      </c>
      <c r="Z25" s="60" t="s">
        <v>5</v>
      </c>
      <c r="AA25" s="74">
        <v>0.5</v>
      </c>
    </row>
    <row r="26" spans="2:30" ht="12" customHeight="1" x14ac:dyDescent="0.2">
      <c r="B26" s="33" t="s">
        <v>18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5"/>
      <c r="N26" s="26"/>
      <c r="O26" s="27"/>
      <c r="P26" s="27"/>
      <c r="Q26" s="27"/>
      <c r="R26" s="27"/>
      <c r="S26" s="27"/>
      <c r="T26" s="28"/>
      <c r="V26" s="64" t="s">
        <v>73</v>
      </c>
      <c r="W26" s="65" t="s">
        <v>47</v>
      </c>
      <c r="X26" s="66">
        <v>15.46</v>
      </c>
      <c r="Z26" s="60" t="s">
        <v>23</v>
      </c>
      <c r="AA26" s="54" t="s">
        <v>10</v>
      </c>
    </row>
    <row r="27" spans="2:30" ht="12" customHeight="1" x14ac:dyDescent="0.2">
      <c r="B27" s="33" t="s">
        <v>12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5"/>
      <c r="N27" s="26"/>
      <c r="O27" s="27"/>
      <c r="P27" s="27"/>
      <c r="Q27" s="27"/>
      <c r="R27" s="27"/>
      <c r="S27" s="27"/>
      <c r="T27" s="28"/>
      <c r="V27" s="64" t="s">
        <v>72</v>
      </c>
      <c r="W27" s="65" t="s">
        <v>47</v>
      </c>
      <c r="X27" s="66">
        <v>8.94</v>
      </c>
      <c r="Z27" s="60" t="s">
        <v>29</v>
      </c>
      <c r="AA27" s="54" t="s">
        <v>10</v>
      </c>
    </row>
    <row r="28" spans="2:30" ht="12" customHeight="1" x14ac:dyDescent="0.2">
      <c r="B28" s="33" t="s">
        <v>13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5"/>
      <c r="N28" s="26"/>
      <c r="O28" s="27"/>
      <c r="P28" s="27"/>
      <c r="Q28" s="27"/>
      <c r="R28" s="27"/>
      <c r="S28" s="27"/>
      <c r="T28" s="28"/>
      <c r="V28" s="64" t="s">
        <v>71</v>
      </c>
      <c r="W28" s="65" t="s">
        <v>47</v>
      </c>
      <c r="X28" s="52">
        <v>13.56</v>
      </c>
      <c r="Z28" s="69" t="s">
        <v>39</v>
      </c>
      <c r="AA28" s="70">
        <v>0.45</v>
      </c>
    </row>
    <row r="29" spans="2:30" ht="12" customHeight="1" x14ac:dyDescent="0.2"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6"/>
      <c r="O29" s="27"/>
      <c r="P29" s="27"/>
      <c r="Q29" s="27"/>
      <c r="R29" s="27"/>
      <c r="S29" s="27"/>
      <c r="T29" s="28"/>
      <c r="V29" s="64" t="s">
        <v>70</v>
      </c>
      <c r="W29" s="65" t="s">
        <v>47</v>
      </c>
      <c r="X29" s="52">
        <v>19.3</v>
      </c>
      <c r="Z29" s="60" t="s">
        <v>14</v>
      </c>
      <c r="AA29" s="54" t="s">
        <v>115</v>
      </c>
    </row>
    <row r="30" spans="2:30" ht="12" customHeight="1" x14ac:dyDescent="0.2">
      <c r="B30" s="140" t="s">
        <v>21</v>
      </c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2"/>
      <c r="N30" s="26"/>
      <c r="O30" s="27"/>
      <c r="P30" s="27"/>
      <c r="Q30" s="27"/>
      <c r="R30" s="27"/>
      <c r="S30" s="27"/>
      <c r="T30" s="28"/>
      <c r="V30" s="64" t="s">
        <v>69</v>
      </c>
      <c r="W30" s="65" t="s">
        <v>47</v>
      </c>
      <c r="X30" s="52">
        <v>9.9600000000000009</v>
      </c>
      <c r="Z30" s="60" t="s">
        <v>3</v>
      </c>
      <c r="AA30" s="52">
        <v>4</v>
      </c>
    </row>
    <row r="31" spans="2:30" ht="12" customHeight="1" x14ac:dyDescent="0.2"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8"/>
      <c r="N31" s="26"/>
      <c r="O31" s="27"/>
      <c r="P31" s="27"/>
      <c r="Q31" s="27"/>
      <c r="R31" s="27"/>
      <c r="S31" s="27"/>
      <c r="T31" s="28"/>
      <c r="V31" s="64" t="s">
        <v>68</v>
      </c>
      <c r="W31" s="65" t="s">
        <v>47</v>
      </c>
      <c r="X31" s="52">
        <v>15.11</v>
      </c>
      <c r="Z31" s="59" t="s">
        <v>31</v>
      </c>
      <c r="AA31" s="54" t="s">
        <v>104</v>
      </c>
    </row>
    <row r="32" spans="2:30" ht="12" customHeight="1" x14ac:dyDescent="0.2">
      <c r="B32" s="155" t="s">
        <v>22</v>
      </c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26"/>
      <c r="O32" s="27"/>
      <c r="P32" s="27"/>
      <c r="Q32" s="27"/>
      <c r="R32" s="27"/>
      <c r="S32" s="27"/>
      <c r="T32" s="28"/>
      <c r="V32" s="64" t="s">
        <v>67</v>
      </c>
      <c r="W32" s="65" t="s">
        <v>47</v>
      </c>
      <c r="X32" s="52">
        <v>21.61</v>
      </c>
      <c r="Z32" s="59" t="s">
        <v>32</v>
      </c>
      <c r="AA32" s="54" t="s">
        <v>10</v>
      </c>
    </row>
    <row r="33" spans="2:27" ht="12" customHeight="1" x14ac:dyDescent="0.2">
      <c r="B33" s="155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26"/>
      <c r="O33" s="27"/>
      <c r="P33" s="27"/>
      <c r="Q33" s="27"/>
      <c r="R33" s="27"/>
      <c r="S33" s="27"/>
      <c r="T33" s="28"/>
      <c r="V33" s="64" t="s">
        <v>66</v>
      </c>
      <c r="W33" s="65" t="s">
        <v>47</v>
      </c>
      <c r="X33" s="52">
        <v>0.11799999999999999</v>
      </c>
      <c r="Z33" s="59" t="s">
        <v>33</v>
      </c>
      <c r="AA33" s="54" t="s">
        <v>10</v>
      </c>
    </row>
    <row r="34" spans="2:27" ht="12" customHeight="1" thickBot="1" x14ac:dyDescent="0.25"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6"/>
      <c r="O34" s="27"/>
      <c r="P34" s="27"/>
      <c r="Q34" s="27"/>
      <c r="R34" s="27"/>
      <c r="S34" s="27"/>
      <c r="T34" s="28"/>
      <c r="V34" s="64" t="s">
        <v>65</v>
      </c>
      <c r="W34" s="65" t="s">
        <v>47</v>
      </c>
      <c r="X34" s="52">
        <v>0.35299999999999998</v>
      </c>
      <c r="Z34" s="59" t="s">
        <v>40</v>
      </c>
      <c r="AA34" s="54">
        <v>0</v>
      </c>
    </row>
    <row r="35" spans="2:27" ht="12" customHeight="1" x14ac:dyDescent="0.2">
      <c r="B35" s="90" t="s">
        <v>75</v>
      </c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2"/>
      <c r="N35" s="26"/>
      <c r="O35" s="27"/>
      <c r="P35" s="27"/>
      <c r="Q35" s="27"/>
      <c r="R35"/>
      <c r="S35" s="27"/>
      <c r="T35" s="28"/>
      <c r="V35" s="64" t="s">
        <v>64</v>
      </c>
      <c r="W35" s="65" t="s">
        <v>47</v>
      </c>
      <c r="X35" s="52">
        <v>0.22600000000000001</v>
      </c>
      <c r="Z35" s="60" t="s">
        <v>26</v>
      </c>
      <c r="AA35" s="52" t="s">
        <v>10</v>
      </c>
    </row>
    <row r="36" spans="2:27" ht="12" customHeight="1" thickBot="1" x14ac:dyDescent="0.25">
      <c r="B36" s="93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26"/>
      <c r="O36" s="27"/>
      <c r="P36" s="27"/>
      <c r="Q36" s="27"/>
      <c r="R36" s="27"/>
      <c r="S36" s="27"/>
      <c r="T36" s="28"/>
      <c r="V36" s="64" t="s">
        <v>63</v>
      </c>
      <c r="W36" s="65" t="s">
        <v>47</v>
      </c>
      <c r="X36" s="52">
        <v>0.36799999999999999</v>
      </c>
      <c r="Z36" s="60" t="s">
        <v>43</v>
      </c>
      <c r="AA36" s="52" t="str">
        <f>X18</f>
        <v>Previsto</v>
      </c>
    </row>
    <row r="37" spans="2:27" ht="12" customHeight="1" x14ac:dyDescent="0.2">
      <c r="B37" s="81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3"/>
      <c r="N37" s="26"/>
      <c r="O37" s="27"/>
      <c r="P37" s="27"/>
      <c r="Q37" s="27"/>
      <c r="R37" s="27"/>
      <c r="S37" s="27"/>
      <c r="T37" s="28"/>
      <c r="V37" s="64" t="s">
        <v>62</v>
      </c>
      <c r="W37" s="65" t="s">
        <v>47</v>
      </c>
      <c r="X37" s="52">
        <v>0.55600000000000005</v>
      </c>
      <c r="Z37" s="72" t="str">
        <f>V41</f>
        <v>Ibegel 2" x 16"</v>
      </c>
      <c r="AA37" s="68" t="s">
        <v>10</v>
      </c>
    </row>
    <row r="38" spans="2:27" ht="12" customHeight="1" x14ac:dyDescent="0.2">
      <c r="B38" s="84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6"/>
      <c r="N38" s="26"/>
      <c r="O38" s="27"/>
      <c r="P38" s="27"/>
      <c r="Q38" s="27"/>
      <c r="R38" s="27"/>
      <c r="S38" s="27"/>
      <c r="T38" s="28"/>
      <c r="V38" s="64" t="s">
        <v>61</v>
      </c>
      <c r="W38" s="65" t="s">
        <v>47</v>
      </c>
      <c r="X38" s="52">
        <v>0.53200000000000003</v>
      </c>
      <c r="Z38" s="60" t="s">
        <v>112</v>
      </c>
      <c r="AA38" s="54" t="s">
        <v>10</v>
      </c>
    </row>
    <row r="39" spans="2:27" ht="12" customHeight="1" x14ac:dyDescent="0.2">
      <c r="B39" s="84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6"/>
      <c r="N39" s="26"/>
      <c r="O39" s="27"/>
      <c r="P39" s="27"/>
      <c r="Q39" s="27"/>
      <c r="R39" s="27"/>
      <c r="S39" s="27"/>
      <c r="T39" s="28"/>
      <c r="V39" s="64" t="s">
        <v>60</v>
      </c>
      <c r="W39" s="65" t="s">
        <v>47</v>
      </c>
      <c r="X39" s="52">
        <v>0.80700000000000005</v>
      </c>
      <c r="Z39" s="60" t="s">
        <v>111</v>
      </c>
      <c r="AA39" s="54" t="s">
        <v>10</v>
      </c>
    </row>
    <row r="40" spans="2:27" ht="12" customHeight="1" x14ac:dyDescent="0.2">
      <c r="B40" s="84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6"/>
      <c r="N40" s="26"/>
      <c r="O40" s="27"/>
      <c r="P40" s="27"/>
      <c r="Q40" s="27"/>
      <c r="R40" s="27"/>
      <c r="S40" s="27"/>
      <c r="T40" s="28"/>
      <c r="V40" s="64" t="s">
        <v>59</v>
      </c>
      <c r="W40" s="65" t="s">
        <v>47</v>
      </c>
      <c r="X40" s="52" t="s">
        <v>10</v>
      </c>
      <c r="Z40" s="60" t="s">
        <v>119</v>
      </c>
      <c r="AA40" s="54" t="s">
        <v>10</v>
      </c>
    </row>
    <row r="41" spans="2:27" ht="12" customHeight="1" x14ac:dyDescent="0.2">
      <c r="B41" s="84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6"/>
      <c r="N41" s="26"/>
      <c r="O41" s="27"/>
      <c r="P41" s="27"/>
      <c r="Q41" s="27"/>
      <c r="R41" s="27"/>
      <c r="S41" s="27"/>
      <c r="T41" s="28"/>
      <c r="V41" s="64" t="s">
        <v>58</v>
      </c>
      <c r="W41" s="65" t="s">
        <v>47</v>
      </c>
      <c r="X41" s="52">
        <v>0.92600000000000005</v>
      </c>
      <c r="Z41" s="60" t="s">
        <v>108</v>
      </c>
      <c r="AA41" s="54" t="s">
        <v>10</v>
      </c>
    </row>
    <row r="42" spans="2:27" ht="12" customHeight="1" x14ac:dyDescent="0.2">
      <c r="B42" s="84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6"/>
      <c r="N42" s="26"/>
      <c r="O42" s="27"/>
      <c r="P42" s="27"/>
      <c r="Q42" s="27"/>
      <c r="R42" s="27"/>
      <c r="S42" s="27"/>
      <c r="T42" s="28"/>
      <c r="V42" s="64" t="s">
        <v>57</v>
      </c>
      <c r="W42" s="65" t="s">
        <v>47</v>
      </c>
      <c r="X42" s="52">
        <v>1.389</v>
      </c>
      <c r="Z42" s="60" t="s">
        <v>34</v>
      </c>
      <c r="AA42" s="52" t="s">
        <v>10</v>
      </c>
    </row>
    <row r="43" spans="2:27" ht="12" customHeight="1" x14ac:dyDescent="0.2">
      <c r="B43" s="84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6"/>
      <c r="N43" s="26"/>
      <c r="O43" s="27"/>
      <c r="P43" s="27"/>
      <c r="Q43" s="27"/>
      <c r="R43" s="27"/>
      <c r="S43" s="27"/>
      <c r="T43" s="28"/>
      <c r="V43" s="64" t="s">
        <v>56</v>
      </c>
      <c r="W43" s="65" t="s">
        <v>47</v>
      </c>
      <c r="X43" s="52">
        <v>1.786</v>
      </c>
      <c r="Z43" s="59" t="s">
        <v>84</v>
      </c>
      <c r="AA43" s="54" t="s">
        <v>10</v>
      </c>
    </row>
    <row r="44" spans="2:27" ht="12" customHeight="1" x14ac:dyDescent="0.2">
      <c r="B44" s="84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6"/>
      <c r="N44" s="26"/>
      <c r="O44" s="27"/>
      <c r="P44" s="27"/>
      <c r="Q44" s="27"/>
      <c r="R44" s="27"/>
      <c r="S44" s="27"/>
      <c r="T44" s="28"/>
      <c r="V44" s="64" t="s">
        <v>55</v>
      </c>
      <c r="W44" s="65" t="s">
        <v>47</v>
      </c>
      <c r="X44" s="52">
        <v>2.2730000000000001</v>
      </c>
      <c r="Z44" s="60" t="s">
        <v>109</v>
      </c>
      <c r="AA44" s="54" t="s">
        <v>10</v>
      </c>
    </row>
    <row r="45" spans="2:27" ht="12" customHeight="1" x14ac:dyDescent="0.2">
      <c r="B45" s="84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6"/>
      <c r="N45" s="26"/>
      <c r="O45" s="27"/>
      <c r="P45" s="27"/>
      <c r="Q45" s="27"/>
      <c r="R45" s="27"/>
      <c r="S45" s="27"/>
      <c r="T45" s="28"/>
      <c r="V45" s="64" t="s">
        <v>54</v>
      </c>
      <c r="W45" s="65" t="s">
        <v>47</v>
      </c>
      <c r="X45" s="52">
        <v>1.0900000000000001</v>
      </c>
      <c r="Z45" s="59" t="s">
        <v>41</v>
      </c>
      <c r="AA45" s="52" t="s">
        <v>86</v>
      </c>
    </row>
    <row r="46" spans="2:27" ht="12" customHeight="1" x14ac:dyDescent="0.2">
      <c r="B46" s="84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6"/>
      <c r="N46" s="26"/>
      <c r="O46" s="27"/>
      <c r="P46" s="27"/>
      <c r="Q46" s="27"/>
      <c r="R46" s="27"/>
      <c r="S46" s="27"/>
      <c r="T46" s="28"/>
      <c r="V46" s="64" t="s">
        <v>53</v>
      </c>
      <c r="W46" s="65" t="s">
        <v>47</v>
      </c>
      <c r="X46" s="52">
        <v>2.0830000000000002</v>
      </c>
      <c r="Z46" s="59" t="s">
        <v>88</v>
      </c>
      <c r="AA46" s="54" t="s">
        <v>10</v>
      </c>
    </row>
    <row r="47" spans="2:27" ht="12" customHeight="1" x14ac:dyDescent="0.2"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6"/>
      <c r="N47" s="26"/>
      <c r="O47" s="27"/>
      <c r="P47" s="27"/>
      <c r="Q47" s="27"/>
      <c r="R47" s="27"/>
      <c r="S47" s="27"/>
      <c r="T47" s="28"/>
      <c r="V47" s="64" t="s">
        <v>52</v>
      </c>
      <c r="W47" s="65" t="s">
        <v>47</v>
      </c>
      <c r="X47" s="52">
        <v>3.125</v>
      </c>
      <c r="Z47" s="60" t="s">
        <v>89</v>
      </c>
      <c r="AA47" s="54">
        <f>IFERROR(VLOOKUP(Z37,V:X,3,FALSE),"")</f>
        <v>0.92600000000000005</v>
      </c>
    </row>
    <row r="48" spans="2:27" ht="12" customHeight="1" x14ac:dyDescent="0.2">
      <c r="B48" s="84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6"/>
      <c r="N48" s="26"/>
      <c r="O48" s="27"/>
      <c r="P48" s="27"/>
      <c r="Q48" s="27"/>
      <c r="R48" s="27"/>
      <c r="S48" s="27"/>
      <c r="T48" s="28"/>
      <c r="V48" s="64" t="s">
        <v>51</v>
      </c>
      <c r="W48" s="65" t="s">
        <v>47</v>
      </c>
      <c r="X48" s="52">
        <v>2.778</v>
      </c>
      <c r="Z48" s="60" t="s">
        <v>106</v>
      </c>
      <c r="AA48" s="54" t="str">
        <f>AA39</f>
        <v>-</v>
      </c>
    </row>
    <row r="49" spans="2:27" ht="12" customHeight="1" x14ac:dyDescent="0.2">
      <c r="B49" s="84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6"/>
      <c r="N49" s="26"/>
      <c r="O49" s="27"/>
      <c r="P49" s="27"/>
      <c r="Q49" s="27"/>
      <c r="R49" s="27"/>
      <c r="S49" s="27"/>
      <c r="T49" s="28"/>
      <c r="V49" s="64" t="s">
        <v>50</v>
      </c>
      <c r="W49" s="65" t="s">
        <v>47</v>
      </c>
      <c r="X49" s="52">
        <v>4.1669999999999998</v>
      </c>
      <c r="Z49" s="60" t="s">
        <v>90</v>
      </c>
      <c r="AA49" s="54">
        <v>0</v>
      </c>
    </row>
    <row r="50" spans="2:27" ht="12" customHeight="1" x14ac:dyDescent="0.2">
      <c r="B50" s="84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6"/>
      <c r="N50" s="26"/>
      <c r="O50" s="27"/>
      <c r="P50" s="27"/>
      <c r="Q50" s="27"/>
      <c r="R50" s="27"/>
      <c r="S50" s="27"/>
      <c r="T50" s="28"/>
      <c r="V50" s="64" t="s">
        <v>49</v>
      </c>
      <c r="W50" s="65" t="s">
        <v>47</v>
      </c>
      <c r="X50" s="52">
        <v>5.68</v>
      </c>
      <c r="Z50" s="60" t="s">
        <v>98</v>
      </c>
      <c r="AA50" s="73">
        <v>0</v>
      </c>
    </row>
    <row r="51" spans="2:27" ht="12" customHeight="1" x14ac:dyDescent="0.2">
      <c r="B51" s="84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6"/>
      <c r="N51" s="26"/>
      <c r="O51" s="27"/>
      <c r="P51" s="27"/>
      <c r="Q51" s="27"/>
      <c r="R51" s="27"/>
      <c r="S51" s="27"/>
      <c r="T51" s="28"/>
      <c r="V51" s="64" t="s">
        <v>48</v>
      </c>
      <c r="W51" s="65" t="s">
        <v>47</v>
      </c>
      <c r="X51" s="52">
        <v>8.3330000000000002</v>
      </c>
    </row>
    <row r="52" spans="2:27" ht="12" customHeight="1" x14ac:dyDescent="0.2">
      <c r="B52" s="84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6"/>
      <c r="N52" s="26"/>
      <c r="O52" s="27"/>
      <c r="P52" s="27"/>
      <c r="Q52" s="27"/>
      <c r="R52" s="27"/>
      <c r="S52" s="27"/>
      <c r="T52" s="28"/>
    </row>
    <row r="53" spans="2:27" ht="12" customHeight="1" x14ac:dyDescent="0.2">
      <c r="B53" s="84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6"/>
      <c r="N53" s="26"/>
      <c r="O53" s="27"/>
      <c r="P53" s="27"/>
      <c r="Q53" s="27"/>
      <c r="R53" s="27"/>
      <c r="S53" s="27"/>
      <c r="T53" s="28"/>
    </row>
    <row r="54" spans="2:27" ht="12" customHeight="1" x14ac:dyDescent="0.2">
      <c r="B54" s="84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6"/>
      <c r="N54" s="26"/>
      <c r="O54" s="27"/>
      <c r="P54" s="27"/>
      <c r="Q54" s="27"/>
      <c r="R54" s="27"/>
      <c r="S54" s="27"/>
      <c r="T54" s="28"/>
    </row>
    <row r="55" spans="2:27" ht="12" customHeight="1" x14ac:dyDescent="0.2">
      <c r="B55" s="8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6"/>
      <c r="N55" s="26"/>
      <c r="O55" s="27"/>
      <c r="P55" s="27"/>
      <c r="Q55" s="27"/>
      <c r="R55" s="27"/>
      <c r="S55" s="27"/>
      <c r="T55" s="28"/>
    </row>
    <row r="56" spans="2:27" ht="12" customHeight="1" x14ac:dyDescent="0.2">
      <c r="B56" s="84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6"/>
      <c r="N56" s="26"/>
      <c r="O56" s="27"/>
      <c r="P56" s="27"/>
      <c r="Q56" s="27"/>
      <c r="R56" s="27"/>
      <c r="S56" s="27"/>
      <c r="T56" s="28"/>
    </row>
    <row r="57" spans="2:27" ht="12" customHeight="1" x14ac:dyDescent="0.2">
      <c r="B57" s="84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6"/>
      <c r="N57" s="26"/>
      <c r="O57" s="27"/>
      <c r="P57" s="27"/>
      <c r="Q57" s="27"/>
      <c r="R57" s="27"/>
      <c r="S57" s="27"/>
      <c r="T57" s="28"/>
    </row>
    <row r="58" spans="2:27" x14ac:dyDescent="0.2">
      <c r="B58" s="84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6"/>
      <c r="N58" s="26"/>
      <c r="O58" s="27"/>
      <c r="P58" s="27"/>
      <c r="Q58" s="27"/>
      <c r="R58" s="27"/>
      <c r="S58" s="27"/>
      <c r="T58" s="28"/>
    </row>
    <row r="59" spans="2:27" ht="15.75" thickBot="1" x14ac:dyDescent="0.25">
      <c r="B59" s="87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9"/>
      <c r="N59" s="26"/>
      <c r="O59" s="27"/>
      <c r="P59" s="27"/>
      <c r="Q59" s="27"/>
      <c r="R59" s="27"/>
      <c r="S59" s="27"/>
      <c r="T59" s="28"/>
    </row>
    <row r="60" spans="2:27" x14ac:dyDescent="0.2">
      <c r="B60" s="114" t="s">
        <v>76</v>
      </c>
      <c r="C60" s="115"/>
      <c r="D60" s="115"/>
      <c r="E60" s="115"/>
      <c r="F60" s="115"/>
      <c r="G60" s="117"/>
      <c r="H60" s="114" t="s">
        <v>77</v>
      </c>
      <c r="I60" s="115"/>
      <c r="J60" s="115"/>
      <c r="K60" s="115"/>
      <c r="L60" s="115"/>
      <c r="M60" s="116"/>
      <c r="N60" s="144" t="s">
        <v>78</v>
      </c>
      <c r="O60" s="145"/>
      <c r="P60" s="145"/>
      <c r="Q60" s="145"/>
      <c r="R60" s="145"/>
      <c r="S60" s="145"/>
      <c r="T60" s="146"/>
    </row>
    <row r="61" spans="2:27" x14ac:dyDescent="0.2">
      <c r="B61" s="123" t="s">
        <v>113</v>
      </c>
      <c r="C61" s="124"/>
      <c r="D61" s="124"/>
      <c r="E61" s="124"/>
      <c r="F61" s="124"/>
      <c r="G61" s="143"/>
      <c r="H61" s="123" t="s">
        <v>110</v>
      </c>
      <c r="I61" s="124"/>
      <c r="J61" s="124"/>
      <c r="K61" s="124"/>
      <c r="L61" s="124"/>
      <c r="M61" s="143"/>
      <c r="N61" s="125" t="s">
        <v>79</v>
      </c>
      <c r="O61" s="150"/>
      <c r="P61" s="150"/>
      <c r="Q61" s="150"/>
      <c r="R61" s="150"/>
      <c r="S61" s="150"/>
      <c r="T61" s="154"/>
    </row>
    <row r="62" spans="2:27" x14ac:dyDescent="0.2">
      <c r="B62" s="123" t="s">
        <v>80</v>
      </c>
      <c r="C62" s="124"/>
      <c r="D62" s="108" t="s">
        <v>9</v>
      </c>
      <c r="E62" s="108"/>
      <c r="F62" s="108"/>
      <c r="G62" s="109"/>
      <c r="H62" s="123" t="s">
        <v>80</v>
      </c>
      <c r="I62" s="124"/>
      <c r="J62" s="108" t="s">
        <v>9</v>
      </c>
      <c r="K62" s="108"/>
      <c r="L62" s="108"/>
      <c r="M62" s="109"/>
      <c r="N62" s="125" t="s">
        <v>80</v>
      </c>
      <c r="O62" s="126"/>
      <c r="P62" s="102" t="s">
        <v>9</v>
      </c>
      <c r="Q62" s="103"/>
      <c r="R62" s="103"/>
      <c r="S62" s="103"/>
      <c r="T62" s="104"/>
    </row>
    <row r="63" spans="2:27" ht="15.75" thickBot="1" x14ac:dyDescent="0.25">
      <c r="B63" s="121"/>
      <c r="C63" s="122"/>
      <c r="D63" s="110"/>
      <c r="E63" s="110"/>
      <c r="F63" s="110"/>
      <c r="G63" s="111"/>
      <c r="H63" s="121" t="str">
        <f>N5</f>
        <v>-</v>
      </c>
      <c r="I63" s="122"/>
      <c r="J63" s="110"/>
      <c r="K63" s="110"/>
      <c r="L63" s="110"/>
      <c r="M63" s="111"/>
      <c r="N63" s="112"/>
      <c r="O63" s="113"/>
      <c r="P63" s="105"/>
      <c r="Q63" s="106"/>
      <c r="R63" s="106"/>
      <c r="S63" s="106"/>
      <c r="T63" s="107"/>
    </row>
    <row r="64" spans="2:27" x14ac:dyDescent="0.2">
      <c r="B64" s="6" t="s">
        <v>4</v>
      </c>
      <c r="C64" s="7"/>
      <c r="D64" s="7"/>
      <c r="E64" s="8"/>
      <c r="F64" s="8"/>
      <c r="G64" s="8"/>
      <c r="H64" s="8"/>
      <c r="I64" s="8"/>
      <c r="J64" s="9"/>
      <c r="K64" s="9"/>
      <c r="L64" s="9"/>
      <c r="M64" s="9"/>
      <c r="N64" s="9"/>
      <c r="O64" s="10"/>
      <c r="P64" s="10"/>
      <c r="Q64" s="10"/>
      <c r="R64" s="10"/>
      <c r="S64" s="10"/>
      <c r="T64" s="11"/>
    </row>
    <row r="65" spans="2:20" x14ac:dyDescent="0.2">
      <c r="B65" s="12"/>
      <c r="C65" s="13"/>
      <c r="D65" s="13"/>
      <c r="E65" s="8"/>
      <c r="F65" s="8"/>
      <c r="G65" s="8"/>
      <c r="H65" s="8"/>
      <c r="I65" s="8"/>
      <c r="J65" s="9"/>
      <c r="K65" s="9"/>
      <c r="L65" s="9"/>
      <c r="M65" s="9"/>
      <c r="N65" s="9"/>
      <c r="O65" s="10"/>
      <c r="P65" s="10"/>
      <c r="Q65" s="10"/>
      <c r="R65" s="10"/>
      <c r="S65" s="10"/>
      <c r="T65" s="11"/>
    </row>
    <row r="66" spans="2:20" x14ac:dyDescent="0.2">
      <c r="B66" s="14"/>
      <c r="C66" s="15"/>
      <c r="D66" s="15"/>
      <c r="E66" s="8"/>
      <c r="F66" s="8"/>
      <c r="G66" s="8"/>
      <c r="H66" s="8"/>
      <c r="I66" s="8"/>
      <c r="J66" s="9"/>
      <c r="K66" s="9"/>
      <c r="L66" s="9"/>
      <c r="M66" s="9"/>
      <c r="N66" s="9"/>
      <c r="O66" s="10"/>
      <c r="P66" s="10"/>
      <c r="Q66" s="10"/>
      <c r="R66" s="10"/>
      <c r="S66" s="10"/>
      <c r="T66" s="11"/>
    </row>
    <row r="67" spans="2:20" ht="15.75" thickBot="1" x14ac:dyDescent="0.25">
      <c r="B67" s="16"/>
      <c r="C67" s="17"/>
      <c r="D67" s="17"/>
      <c r="E67" s="18"/>
      <c r="F67" s="18"/>
      <c r="G67" s="18"/>
      <c r="H67" s="18"/>
      <c r="I67" s="18"/>
      <c r="J67" s="19"/>
      <c r="K67" s="19"/>
      <c r="L67" s="19"/>
      <c r="M67" s="19"/>
      <c r="N67" s="19"/>
      <c r="O67" s="20"/>
      <c r="P67" s="20"/>
      <c r="Q67" s="20"/>
      <c r="R67" s="20"/>
      <c r="S67" s="20"/>
      <c r="T67" s="21"/>
    </row>
    <row r="136" spans="14:14" x14ac:dyDescent="0.2">
      <c r="N136" s="5">
        <f>AA241</f>
        <v>0</v>
      </c>
    </row>
  </sheetData>
  <mergeCells count="119">
    <mergeCell ref="V15:W15"/>
    <mergeCell ref="E18:G18"/>
    <mergeCell ref="Z23:AA23"/>
    <mergeCell ref="V23:X23"/>
    <mergeCell ref="S19:T19"/>
    <mergeCell ref="S20:T20"/>
    <mergeCell ref="N22:T23"/>
    <mergeCell ref="N19:R19"/>
    <mergeCell ref="H18:L18"/>
    <mergeCell ref="M17:N17"/>
    <mergeCell ref="O15:R15"/>
    <mergeCell ref="S17:T17"/>
    <mergeCell ref="M18:N18"/>
    <mergeCell ref="M14:N14"/>
    <mergeCell ref="H16:L16"/>
    <mergeCell ref="H17:L17"/>
    <mergeCell ref="O18:R18"/>
    <mergeCell ref="B19:M20"/>
    <mergeCell ref="B17:D17"/>
    <mergeCell ref="E17:G17"/>
    <mergeCell ref="B18:D18"/>
    <mergeCell ref="O17:R17"/>
    <mergeCell ref="O16:R16"/>
    <mergeCell ref="R2:T3"/>
    <mergeCell ref="S8:T8"/>
    <mergeCell ref="B7:D7"/>
    <mergeCell ref="N5:P5"/>
    <mergeCell ref="H5:I5"/>
    <mergeCell ref="H8:L8"/>
    <mergeCell ref="O7:R7"/>
    <mergeCell ref="E8:G8"/>
    <mergeCell ref="H7:L7"/>
    <mergeCell ref="I2:N3"/>
    <mergeCell ref="B4:E4"/>
    <mergeCell ref="F4:T4"/>
    <mergeCell ref="B6:D6"/>
    <mergeCell ref="S5:T5"/>
    <mergeCell ref="L5:M5"/>
    <mergeCell ref="J5:K5"/>
    <mergeCell ref="M8:N8"/>
    <mergeCell ref="O2:Q3"/>
    <mergeCell ref="Q5:R5"/>
    <mergeCell ref="E7:G7"/>
    <mergeCell ref="E6:T6"/>
    <mergeCell ref="S7:T7"/>
    <mergeCell ref="M7:N7"/>
    <mergeCell ref="B5:G5"/>
    <mergeCell ref="H61:M61"/>
    <mergeCell ref="B61:G61"/>
    <mergeCell ref="N60:T60"/>
    <mergeCell ref="S10:T10"/>
    <mergeCell ref="O13:R13"/>
    <mergeCell ref="N20:R20"/>
    <mergeCell ref="S15:T15"/>
    <mergeCell ref="M11:N11"/>
    <mergeCell ref="N61:T61"/>
    <mergeCell ref="B32:M32"/>
    <mergeCell ref="B33:M33"/>
    <mergeCell ref="B10:D11"/>
    <mergeCell ref="E10:G11"/>
    <mergeCell ref="H12:L12"/>
    <mergeCell ref="H11:L11"/>
    <mergeCell ref="M15:N15"/>
    <mergeCell ref="O12:R12"/>
    <mergeCell ref="S11:T11"/>
    <mergeCell ref="S12:T12"/>
    <mergeCell ref="M12:N12"/>
    <mergeCell ref="O11:R11"/>
    <mergeCell ref="M10:N10"/>
    <mergeCell ref="O10:R10"/>
    <mergeCell ref="S13:T13"/>
    <mergeCell ref="AJ7:AK7"/>
    <mergeCell ref="AE8:AI8"/>
    <mergeCell ref="AJ8:AK8"/>
    <mergeCell ref="P62:T63"/>
    <mergeCell ref="D62:G63"/>
    <mergeCell ref="N63:O63"/>
    <mergeCell ref="H60:M60"/>
    <mergeCell ref="B60:G60"/>
    <mergeCell ref="B13:D13"/>
    <mergeCell ref="B63:C63"/>
    <mergeCell ref="J62:M63"/>
    <mergeCell ref="H63:I63"/>
    <mergeCell ref="B62:C62"/>
    <mergeCell ref="H62:I62"/>
    <mergeCell ref="N62:O62"/>
    <mergeCell ref="AA8:AB8"/>
    <mergeCell ref="V8:Z8"/>
    <mergeCell ref="O14:R14"/>
    <mergeCell ref="S14:T14"/>
    <mergeCell ref="B16:D16"/>
    <mergeCell ref="E16:G16"/>
    <mergeCell ref="B9:D9"/>
    <mergeCell ref="B8:D8"/>
    <mergeCell ref="H13:L13"/>
    <mergeCell ref="E9:G9"/>
    <mergeCell ref="H10:L10"/>
    <mergeCell ref="O8:R8"/>
    <mergeCell ref="B37:M59"/>
    <mergeCell ref="B35:M36"/>
    <mergeCell ref="H15:L15"/>
    <mergeCell ref="M13:N13"/>
    <mergeCell ref="B15:D15"/>
    <mergeCell ref="AE7:AI7"/>
    <mergeCell ref="H14:L14"/>
    <mergeCell ref="B30:M30"/>
    <mergeCell ref="B14:D14"/>
    <mergeCell ref="H9:L9"/>
    <mergeCell ref="O9:R9"/>
    <mergeCell ref="M9:N9"/>
    <mergeCell ref="S9:T9"/>
    <mergeCell ref="B12:D12"/>
    <mergeCell ref="S16:T16"/>
    <mergeCell ref="E14:G14"/>
    <mergeCell ref="E12:G12"/>
    <mergeCell ref="E15:G15"/>
    <mergeCell ref="E13:G13"/>
    <mergeCell ref="S18:T18"/>
    <mergeCell ref="M16:N16"/>
  </mergeCells>
  <phoneticPr fontId="0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4" orientation="portrait" r:id="rId1"/>
  <headerFooter alignWithMargins="0"/>
  <colBreaks count="1" manualBreakCount="1">
    <brk id="20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Capa (2)</vt:lpstr>
      <vt:lpstr>Capa</vt:lpstr>
      <vt:lpstr>Capa!Area_de_impressao</vt:lpstr>
      <vt:lpstr>'Capa (2)'!Area_de_impressao</vt:lpstr>
    </vt:vector>
  </TitlesOfParts>
  <Company>Orica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Gomide</dc:creator>
  <cp:lastModifiedBy>Thiago Ferreira Da Silva</cp:lastModifiedBy>
  <cp:lastPrinted>2026-06-25T13:48:14Z</cp:lastPrinted>
  <dcterms:created xsi:type="dcterms:W3CDTF">2006-09-12T15:36:42Z</dcterms:created>
  <dcterms:modified xsi:type="dcterms:W3CDTF">2026-08-14T18:55:01Z</dcterms:modified>
</cp:coreProperties>
</file>